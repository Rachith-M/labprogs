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DEDE14-75A3-4ADC-9E67-5BFD44EBD9B9}" xr6:coauthVersionLast="47" xr6:coauthVersionMax="47" xr10:uidLastSave="{00000000-0000-0000-0000-000000000000}"/>
  <bookViews>
    <workbookView xWindow="-120" yWindow="-120" windowWidth="29040" windowHeight="15720" xr2:uid="{2AB4A2BC-59E8-4DC2-AEAD-F96CFBF5E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<sst xmlns="http://schemas.openxmlformats.org/spreadsheetml/2006/main" count="58" uniqueCount="33">
  <si>
    <t>Maximum = 261</t>
  </si>
  <si>
    <t>Minimum = 149</t>
  </si>
  <si>
    <t>Average</t>
  </si>
  <si>
    <t>Total</t>
  </si>
  <si>
    <t>Result</t>
  </si>
  <si>
    <t>Rohan</t>
  </si>
  <si>
    <t>Aniket</t>
  </si>
  <si>
    <t>Ganesh</t>
  </si>
  <si>
    <t>Meena</t>
  </si>
  <si>
    <t>Seema</t>
  </si>
  <si>
    <t>Dinesh</t>
  </si>
  <si>
    <t>Yogita</t>
  </si>
  <si>
    <t>Karan</t>
  </si>
  <si>
    <t>Jayesh</t>
  </si>
  <si>
    <t>Mangesh</t>
  </si>
  <si>
    <t>Geeta</t>
  </si>
  <si>
    <t>Runali</t>
  </si>
  <si>
    <t>Tushar</t>
  </si>
  <si>
    <t>Binod</t>
  </si>
  <si>
    <t>Sanjay</t>
  </si>
  <si>
    <t>Male</t>
  </si>
  <si>
    <t>Female</t>
  </si>
  <si>
    <t>MH</t>
  </si>
  <si>
    <t>UP</t>
  </si>
  <si>
    <t>MP</t>
  </si>
  <si>
    <t>Name</t>
  </si>
  <si>
    <t>Gender</t>
  </si>
  <si>
    <t>State</t>
  </si>
  <si>
    <t>Phy</t>
  </si>
  <si>
    <t>Maths</t>
  </si>
  <si>
    <t>Bio</t>
  </si>
  <si>
    <t>Maharashtra = 6</t>
  </si>
  <si>
    <t>Uttar Pradesh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</si>
</sst>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quotePrefix="1"/>
    <xf numFmtId="0" fontId="1" fillId="2" borderId="0" xfId="1"/>
  </cellXfs>
  <cellStyles count="2">
    <cellStyle name="Neutral" xfId="1" builtinId="28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DE22-CCDC-4B67-BF37-44638A1EA1A6}">
  <dimension ref="A1:I20"/>
  <sheetViews>
    <sheetView tabSelected="1" zoomScale="115" zoomScaleNormal="115" workbookViewId="0">
      <selection activeCell="G26" sqref="G26"/>
    </sheetView>
  </sheetViews>
  <sheetFormatPr defaultRowHeight="15" x14ac:dyDescent="0.25"/>
  <cols>
    <col min="1" max="9" width="24.5703125" customWidth="1"/>
    <col min="10" max="10" width="11.85546875" customWidth="1"/>
    <col min="13" max="13" width="9.140625" customWidth="1"/>
  </cols>
  <sheetData>
    <row r="1" spans="1:9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</v>
      </c>
      <c r="H1" t="s">
        <v>2</v>
      </c>
      <c r="I1" t="s">
        <v>4</v>
      </c>
    </row>
    <row r="2" spans="1:9" x14ac:dyDescent="0.25">
      <c r="A2" t="s">
        <v>5</v>
      </c>
      <c r="B2" t="s">
        <v>20</v>
      </c>
      <c r="C2" t="s">
        <v>22</v>
      </c>
      <c r="D2">
        <v>60</v>
      </c>
      <c r="E2">
        <v>90</v>
      </c>
      <c r="F2">
        <v>68</v>
      </c>
      <c r="G2" s="4">
        <f>SUM(D2+E2+F2)</f>
        <v>218</v>
      </c>
      <c r="H2">
        <f>AVERAGE(D2:F2)</f>
        <v>72.666666666666671</v>
      </c>
      <c r="I2" t="str">
        <f>IF(G2&gt;220,"PASS","FAIL")</f>
        <v>FAIL</v>
      </c>
    </row>
    <row r="3" spans="1:9" x14ac:dyDescent="0.25">
      <c r="A3" t="s">
        <v>6</v>
      </c>
      <c r="B3" t="s">
        <v>20</v>
      </c>
      <c r="C3" t="s">
        <v>23</v>
      </c>
      <c r="D3">
        <v>52</v>
      </c>
      <c r="E3">
        <v>85</v>
      </c>
      <c r="F3">
        <v>72</v>
      </c>
      <c r="G3" s="4">
        <f>SUM(D3+E3+F3)</f>
        <v>209</v>
      </c>
      <c r="H3">
        <f t="shared" ref="H3:H16" si="0">AVERAGE(D3:F3)</f>
        <v>69.666666666666671</v>
      </c>
      <c r="I3" t="str">
        <f t="shared" ref="I3:I16" si="1">IF(G3&gt;220,"PASS","FAIL")</f>
        <v>FAIL</v>
      </c>
    </row>
    <row r="4" spans="1:9" x14ac:dyDescent="0.25">
      <c r="A4" t="s">
        <v>7</v>
      </c>
      <c r="B4" t="s">
        <v>20</v>
      </c>
      <c r="C4" t="s">
        <v>23</v>
      </c>
      <c r="D4">
        <v>45</v>
      </c>
      <c r="E4">
        <v>82</v>
      </c>
      <c r="F4">
        <v>78</v>
      </c>
      <c r="G4" s="4">
        <f t="shared" ref="G4:G16" si="2">SUM(D4+E4+F4)</f>
        <v>205</v>
      </c>
      <c r="H4">
        <f t="shared" si="0"/>
        <v>68.333333333333329</v>
      </c>
      <c r="I4" t="str">
        <f t="shared" si="1"/>
        <v>FAIL</v>
      </c>
    </row>
    <row r="5" spans="1:9" x14ac:dyDescent="0.25">
      <c r="A5" t="s">
        <v>8</v>
      </c>
      <c r="B5" t="s">
        <v>21</v>
      </c>
      <c r="C5" t="s">
        <v>24</v>
      </c>
      <c r="D5">
        <v>72</v>
      </c>
      <c r="E5">
        <v>69</v>
      </c>
      <c r="F5">
        <v>80</v>
      </c>
      <c r="G5" s="4">
        <f t="shared" si="2"/>
        <v>221</v>
      </c>
      <c r="H5">
        <f t="shared" si="0"/>
        <v>73.666666666666671</v>
      </c>
      <c r="I5" t="str">
        <f t="shared" si="1"/>
        <v>PASS</v>
      </c>
    </row>
    <row r="6" spans="1:9" x14ac:dyDescent="0.25">
      <c r="A6" t="s">
        <v>9</v>
      </c>
      <c r="B6" t="s">
        <v>21</v>
      </c>
      <c r="C6" t="s">
        <v>22</v>
      </c>
      <c r="D6">
        <v>68</v>
      </c>
      <c r="E6">
        <v>90</v>
      </c>
      <c r="F6">
        <v>78</v>
      </c>
      <c r="G6">
        <f t="shared" si="2"/>
        <v>236</v>
      </c>
      <c r="H6">
        <f t="shared" si="0"/>
        <v>78.666666666666671</v>
      </c>
      <c r="I6" t="str">
        <f t="shared" si="1"/>
        <v>PASS</v>
      </c>
    </row>
    <row r="7" spans="1:9" x14ac:dyDescent="0.25">
      <c r="A7" t="s">
        <v>10</v>
      </c>
      <c r="B7" t="s">
        <v>20</v>
      </c>
      <c r="C7" t="s">
        <v>24</v>
      </c>
      <c r="D7">
        <v>48</v>
      </c>
      <c r="E7">
        <v>34</v>
      </c>
      <c r="F7">
        <v>67</v>
      </c>
      <c r="G7">
        <f t="shared" si="2"/>
        <v>149</v>
      </c>
      <c r="H7">
        <f t="shared" si="0"/>
        <v>49.666666666666664</v>
      </c>
      <c r="I7" t="str">
        <f t="shared" si="1"/>
        <v>FAIL</v>
      </c>
    </row>
    <row r="8" spans="1:9" x14ac:dyDescent="0.25">
      <c r="A8" t="s">
        <v>11</v>
      </c>
      <c r="B8" t="s">
        <v>21</v>
      </c>
      <c r="C8" t="s">
        <v>24</v>
      </c>
      <c r="D8">
        <v>39</v>
      </c>
      <c r="E8">
        <v>65</v>
      </c>
      <c r="F8">
        <v>90</v>
      </c>
      <c r="G8" s="4">
        <f t="shared" si="2"/>
        <v>194</v>
      </c>
      <c r="H8">
        <f t="shared" si="0"/>
        <v>64.666666666666671</v>
      </c>
      <c r="I8" t="str">
        <f t="shared" si="1"/>
        <v>FAIL</v>
      </c>
    </row>
    <row r="9" spans="1:9" x14ac:dyDescent="0.25">
      <c r="A9" t="s">
        <v>12</v>
      </c>
      <c r="B9" t="s">
        <v>20</v>
      </c>
      <c r="C9" t="s">
        <v>22</v>
      </c>
      <c r="D9">
        <v>82</v>
      </c>
      <c r="E9">
        <v>78</v>
      </c>
      <c r="F9">
        <v>55</v>
      </c>
      <c r="G9" s="4">
        <f t="shared" si="2"/>
        <v>215</v>
      </c>
      <c r="H9">
        <f t="shared" si="0"/>
        <v>71.666666666666671</v>
      </c>
      <c r="I9" t="str">
        <f t="shared" si="1"/>
        <v>FAIL</v>
      </c>
    </row>
    <row r="10" spans="1:9" x14ac:dyDescent="0.25">
      <c r="A10" t="s">
        <v>13</v>
      </c>
      <c r="B10" t="s">
        <v>20</v>
      </c>
      <c r="C10" t="s">
        <v>23</v>
      </c>
      <c r="D10">
        <v>87</v>
      </c>
      <c r="E10">
        <v>88</v>
      </c>
      <c r="F10">
        <v>32</v>
      </c>
      <c r="G10" s="4">
        <f t="shared" si="2"/>
        <v>207</v>
      </c>
      <c r="H10">
        <f t="shared" si="0"/>
        <v>69</v>
      </c>
      <c r="I10" t="str">
        <f t="shared" si="1"/>
        <v>FAIL</v>
      </c>
    </row>
    <row r="11" spans="1:9" x14ac:dyDescent="0.25">
      <c r="A11" t="s">
        <v>14</v>
      </c>
      <c r="B11" t="s">
        <v>20</v>
      </c>
      <c r="C11" t="s">
        <v>24</v>
      </c>
      <c r="D11">
        <v>91</v>
      </c>
      <c r="E11">
        <v>78</v>
      </c>
      <c r="F11">
        <v>82</v>
      </c>
      <c r="G11">
        <f t="shared" si="2"/>
        <v>251</v>
      </c>
      <c r="H11">
        <f t="shared" si="0"/>
        <v>83.666666666666671</v>
      </c>
      <c r="I11" t="str">
        <f t="shared" si="1"/>
        <v>PASS</v>
      </c>
    </row>
    <row r="12" spans="1:9" x14ac:dyDescent="0.25">
      <c r="A12" t="s">
        <v>15</v>
      </c>
      <c r="B12" t="s">
        <v>21</v>
      </c>
      <c r="C12" t="s">
        <v>22</v>
      </c>
      <c r="D12">
        <v>31</v>
      </c>
      <c r="E12">
        <v>58</v>
      </c>
      <c r="F12">
        <v>78</v>
      </c>
      <c r="G12">
        <f t="shared" si="2"/>
        <v>167</v>
      </c>
      <c r="H12">
        <f t="shared" si="0"/>
        <v>55.666666666666664</v>
      </c>
      <c r="I12" t="str">
        <f t="shared" si="1"/>
        <v>FAIL</v>
      </c>
    </row>
    <row r="13" spans="1:9" x14ac:dyDescent="0.25">
      <c r="A13" t="s">
        <v>16</v>
      </c>
      <c r="B13" t="s">
        <v>21</v>
      </c>
      <c r="C13" t="s">
        <v>23</v>
      </c>
      <c r="D13">
        <v>85</v>
      </c>
      <c r="E13">
        <v>92</v>
      </c>
      <c r="F13">
        <v>66</v>
      </c>
      <c r="G13">
        <f t="shared" si="2"/>
        <v>243</v>
      </c>
      <c r="H13">
        <f t="shared" si="0"/>
        <v>81</v>
      </c>
      <c r="I13" t="str">
        <f t="shared" si="1"/>
        <v>PASS</v>
      </c>
    </row>
    <row r="14" spans="1:9" x14ac:dyDescent="0.25">
      <c r="A14" t="s">
        <v>17</v>
      </c>
      <c r="B14" t="s">
        <v>20</v>
      </c>
      <c r="C14" t="s">
        <v>23</v>
      </c>
      <c r="D14">
        <v>32</v>
      </c>
      <c r="E14">
        <v>92</v>
      </c>
      <c r="F14">
        <v>77</v>
      </c>
      <c r="G14" s="4">
        <f t="shared" si="2"/>
        <v>201</v>
      </c>
      <c r="H14">
        <f t="shared" si="0"/>
        <v>67</v>
      </c>
      <c r="I14" t="str">
        <f t="shared" si="1"/>
        <v>FAIL</v>
      </c>
    </row>
    <row r="15" spans="1:9" x14ac:dyDescent="0.25">
      <c r="A15" t="s">
        <v>18</v>
      </c>
      <c r="B15" t="s">
        <v>20</v>
      </c>
      <c r="C15" t="s">
        <v>22</v>
      </c>
      <c r="D15">
        <v>95</v>
      </c>
      <c r="E15">
        <v>78</v>
      </c>
      <c r="F15">
        <v>88</v>
      </c>
      <c r="G15">
        <f t="shared" si="2"/>
        <v>261</v>
      </c>
      <c r="H15">
        <f t="shared" si="0"/>
        <v>87</v>
      </c>
      <c r="I15" t="str">
        <f t="shared" si="1"/>
        <v>PASS</v>
      </c>
    </row>
    <row r="16" spans="1:9" x14ac:dyDescent="0.25">
      <c r="A16" t="s">
        <v>19</v>
      </c>
      <c r="B16" t="s">
        <v>20</v>
      </c>
      <c r="C16" t="s">
        <v>22</v>
      </c>
      <c r="D16">
        <v>63</v>
      </c>
      <c r="E16">
        <v>90</v>
      </c>
      <c r="F16">
        <v>80</v>
      </c>
      <c r="G16">
        <f t="shared" si="2"/>
        <v>233</v>
      </c>
      <c r="H16">
        <f t="shared" si="0"/>
        <v>77.666666666666671</v>
      </c>
      <c r="I16" t="str">
        <f t="shared" si="1"/>
        <v>PASS</v>
      </c>
    </row>
    <row r="17" spans="3:7" x14ac:dyDescent="0.25">
      <c r="C17" t="s">
        <v>31</v>
      </c>
      <c r="F17" s="2"/>
      <c r="G17" s="2" t="s">
        <v>0</v>
      </c>
    </row>
    <row r="18" spans="3:7" x14ac:dyDescent="0.25">
      <c r="C18" t="s">
        <v>32</v>
      </c>
      <c r="G18" s="1" t="s">
        <v>1</v>
      </c>
    </row>
    <row r="20" spans="3:7" x14ac:dyDescent="0.25">
      <c r="E20" s="3"/>
    </row>
  </sheetData>
  <phoneticPr fontId="2" type="noConversion"/>
  <conditionalFormatting sqref="D2:F16">
    <cfRule type="cellIs" dxfId="9" priority="11" operator="greaterThan">
      <formula>85</formula>
    </cfRule>
    <cfRule type="cellIs" dxfId="8" priority="10" operator="lessThan">
      <formula>40</formula>
    </cfRule>
    <cfRule type="cellIs" dxfId="7" priority="9" operator="greaterThan">
      <formula>80</formula>
    </cfRule>
    <cfRule type="cellIs" dxfId="6" priority="8" operator="lessThan">
      <formula>50</formula>
    </cfRule>
    <cfRule type="cellIs" dxfId="5" priority="7" operator="between">
      <formula>50</formula>
      <formula>79</formula>
    </cfRule>
    <cfRule type="cellIs" dxfId="4" priority="6" operator="greaterThan">
      <formula>79</formula>
    </cfRule>
  </conditionalFormatting>
  <conditionalFormatting sqref="G2:G16">
    <cfRule type="cellIs" dxfId="3" priority="5" operator="greaterThan">
      <formula>230</formula>
    </cfRule>
    <cfRule type="cellIs" dxfId="2" priority="4" operator="lessThan">
      <formula>170</formula>
    </cfRule>
  </conditionalFormatting>
  <conditionalFormatting sqref="I2:I16">
    <cfRule type="containsText" priority="3" operator="containsText" text="FAIL">
      <formula>NOT(ISERROR(SEARCH("FAIL",I2)))</formula>
    </cfRule>
    <cfRule type="containsText" dxfId="1" priority="2" operator="containsText" text="FAIL">
      <formula>NOT(ISERROR(SEARCH("FAIL",I2)))</formula>
    </cfRule>
    <cfRule type="containsText" dxfId="0" priority="1" operator="containsText" text="PASS">
      <formula>NOT(ISERROR(SEARCH("PASS",I2)))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Chinchpure</dc:creator>
  <cp:lastModifiedBy>Mr. Victory</cp:lastModifiedBy>
  <dcterms:created xsi:type="dcterms:W3CDTF">2022-04-22T10:33:03Z</dcterms:created>
  <dcterms:modified xsi:type="dcterms:W3CDTF">2025-10-14T05:05:11Z</dcterms:modified>
</cp:coreProperties>
</file>