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f55b3615f541ea/Documents/Rachith's files/DAE/"/>
    </mc:Choice>
  </mc:AlternateContent>
  <xr:revisionPtr revIDLastSave="2" documentId="8_{53FB2740-56FE-4997-9A59-C316C59F1CD4}" xr6:coauthVersionLast="47" xr6:coauthVersionMax="47" xr10:uidLastSave="{64442915-94C8-40AC-9B71-DB41E9A77781}"/>
  <bookViews>
    <workbookView xWindow="-120" yWindow="-120" windowWidth="29040" windowHeight="15720" activeTab="4" xr2:uid="{50E71E3B-190C-497F-9AD0-00487570311C}"/>
  </bookViews>
  <sheets>
    <sheet name="Descriptive statistics" sheetId="9" r:id="rId1"/>
    <sheet name="Anova one way" sheetId="11" r:id="rId2"/>
    <sheet name="f test" sheetId="10" r:id="rId3"/>
    <sheet name="T test 1" sheetId="12" r:id="rId4"/>
    <sheet name="Chi square" sheetId="13" r:id="rId5"/>
    <sheet name="Sheet1" sheetId="1" r:id="rId6"/>
  </sheets>
  <externalReferences>
    <externalReference r:id="rId7"/>
  </externalReferences>
  <definedNames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Sheet1!$W$6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1" i="13" l="1"/>
  <c r="O21" i="13"/>
  <c r="N22" i="13"/>
  <c r="O22" i="13"/>
  <c r="N23" i="13"/>
  <c r="O23" i="13"/>
  <c r="N24" i="13"/>
  <c r="O24" i="13"/>
  <c r="N25" i="13"/>
  <c r="O25" i="13"/>
  <c r="N26" i="13"/>
  <c r="O26" i="13"/>
  <c r="N27" i="13"/>
  <c r="O27" i="13"/>
  <c r="N28" i="13"/>
  <c r="O28" i="13"/>
  <c r="N29" i="13"/>
  <c r="O29" i="13"/>
  <c r="N30" i="13"/>
  <c r="O30" i="13"/>
  <c r="O20" i="13"/>
  <c r="N20" i="13"/>
  <c r="N5" i="13"/>
  <c r="O5" i="13"/>
  <c r="N6" i="13"/>
  <c r="O6" i="13"/>
  <c r="N7" i="13"/>
  <c r="O7" i="13"/>
  <c r="N8" i="13"/>
  <c r="O8" i="13"/>
  <c r="N9" i="13"/>
  <c r="O9" i="13"/>
  <c r="N10" i="13"/>
  <c r="O10" i="13"/>
  <c r="N11" i="13"/>
  <c r="O11" i="13"/>
  <c r="N12" i="13"/>
  <c r="O12" i="13"/>
  <c r="N13" i="13"/>
  <c r="O13" i="13"/>
  <c r="N14" i="13"/>
  <c r="O14" i="13"/>
  <c r="O4" i="13"/>
  <c r="N4" i="13"/>
  <c r="O15" i="13"/>
  <c r="N15" i="13"/>
  <c r="P5" i="13"/>
  <c r="P6" i="13"/>
  <c r="P7" i="13"/>
  <c r="P8" i="13"/>
  <c r="P9" i="13"/>
  <c r="P10" i="13"/>
  <c r="P11" i="13"/>
  <c r="P12" i="13"/>
  <c r="P13" i="13"/>
  <c r="P14" i="13"/>
  <c r="P4" i="13"/>
  <c r="P15" i="13"/>
  <c r="M20" i="13"/>
  <c r="M21" i="13"/>
  <c r="M22" i="13"/>
  <c r="M23" i="13"/>
  <c r="M24" i="13"/>
  <c r="M25" i="13"/>
  <c r="M26" i="13"/>
  <c r="M27" i="13"/>
  <c r="M28" i="13"/>
  <c r="M29" i="13"/>
  <c r="M30" i="13"/>
  <c r="N19" i="13"/>
  <c r="O19" i="13"/>
  <c r="M4" i="13"/>
  <c r="M5" i="13"/>
  <c r="M6" i="13"/>
  <c r="M7" i="13"/>
  <c r="M8" i="13"/>
  <c r="M9" i="13"/>
  <c r="M10" i="13"/>
  <c r="M11" i="13"/>
  <c r="M12" i="13"/>
  <c r="M13" i="13"/>
  <c r="M14" i="13"/>
  <c r="N3" i="13"/>
  <c r="O3" i="13"/>
  <c r="K10" i="13"/>
  <c r="J10" i="13"/>
  <c r="H10" i="13"/>
  <c r="K9" i="13"/>
  <c r="J9" i="13"/>
  <c r="H9" i="13"/>
  <c r="I5" i="13"/>
  <c r="H5" i="13"/>
  <c r="G5" i="13"/>
  <c r="F5" i="13"/>
  <c r="B4" i="13" a="1"/>
  <c r="B4" i="13" s="1"/>
  <c r="D15" i="13"/>
  <c r="C15" i="13"/>
  <c r="B15" i="13"/>
  <c r="D5" i="13"/>
  <c r="D6" i="13"/>
  <c r="D7" i="13"/>
  <c r="D8" i="13"/>
  <c r="D9" i="13"/>
  <c r="D10" i="13"/>
  <c r="D11" i="13"/>
  <c r="D12" i="13"/>
  <c r="D13" i="13"/>
  <c r="D14" i="13"/>
  <c r="D4" i="13"/>
  <c r="A4" i="13"/>
  <c r="A5" i="13"/>
  <c r="A6" i="13"/>
  <c r="A7" i="13"/>
  <c r="A8" i="13"/>
  <c r="A9" i="13"/>
  <c r="A10" i="13"/>
  <c r="A11" i="13"/>
  <c r="A12" i="13"/>
  <c r="A13" i="13"/>
  <c r="A14" i="13"/>
  <c r="B3" i="13"/>
  <c r="C3" i="13"/>
  <c r="A3" i="13"/>
  <c r="I10" i="13"/>
  <c r="G10" i="13"/>
  <c r="I9" i="13"/>
  <c r="G9" i="13"/>
  <c r="C10" i="13" l="1"/>
  <c r="C13" i="13"/>
  <c r="C12" i="13"/>
  <c r="B11" i="13"/>
  <c r="B9" i="13"/>
  <c r="C4" i="13"/>
  <c r="B13" i="13"/>
  <c r="B12" i="13"/>
  <c r="C11" i="13"/>
  <c r="B10" i="13"/>
  <c r="C9" i="13"/>
  <c r="C8" i="13"/>
  <c r="B8" i="13"/>
  <c r="C7" i="13"/>
  <c r="B7" i="13"/>
  <c r="C6" i="13"/>
  <c r="B6" i="13"/>
  <c r="C5" i="13"/>
  <c r="B5" i="13"/>
  <c r="C14" i="13"/>
  <c r="B14" i="13"/>
</calcChain>
</file>

<file path=xl/sharedStrings.xml><?xml version="1.0" encoding="utf-8"?>
<sst xmlns="http://schemas.openxmlformats.org/spreadsheetml/2006/main" count="77" uniqueCount="62">
  <si>
    <t>Group A</t>
  </si>
  <si>
    <t>Group B</t>
  </si>
  <si>
    <t>Group C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</si>
  <si>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</si>
  <si>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</si>
  <si>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</si>
  <si>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</si>
  <si>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</si>
  <si>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</si>
  <si>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</si>
  <si>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</si>
  <si>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</si>
  <si>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</si>
  <si>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</si>
  <si>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</si>
  <si>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</si>
  <si>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t-Test: Paired Two Sample for Means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</si>
  <si>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</si>
  <si>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</si>
  <si>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</si>
  <si>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</si>
  <si>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</si>
  <si>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</si>
  <si>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</si>
  <si>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</si>
  <si>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</si>
  <si>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</si>
  <si>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ANOVA</t>
  </si>
  <si>
    <t>Total</t>
  </si>
  <si>
    <t>SS</t>
  </si>
  <si>
    <t>MS</t>
  </si>
  <si>
    <t>F</t>
  </si>
  <si>
    <t>P-value</t>
  </si>
  <si>
    <t>F-Test Two-Sample for Variances</t>
  </si>
  <si>
    <t>P(F&lt;=f) one-tail</t>
  </si>
  <si>
    <t>F Critical one-tail</t>
  </si>
  <si>
    <t>Anova: Single Factor</t>
  </si>
  <si>
    <t>SUMMARY</t>
  </si>
  <si>
    <t>Groups</t>
  </si>
  <si>
    <t>Average</t>
  </si>
  <si>
    <t>Source of Variation</t>
  </si>
  <si>
    <t>F crit</t>
  </si>
  <si>
    <t>Between Groups</t>
  </si>
  <si>
    <t>Within Groups</t>
  </si>
  <si>
    <t>Variable 1</t>
  </si>
  <si>
    <t>Variable 2</t>
  </si>
  <si>
    <t>Expected Values</t>
  </si>
  <si>
    <t>Chi-Square Test</t>
  </si>
  <si>
    <t>Alpha</t>
  </si>
  <si>
    <t>Rows</t>
  </si>
  <si>
    <t>Cols</t>
  </si>
  <si>
    <t>CHI-SQUARE</t>
  </si>
  <si>
    <t xml:space="preserve"> </t>
  </si>
  <si>
    <t>chi-sq</t>
  </si>
  <si>
    <t>p-value</t>
  </si>
  <si>
    <t>x-crit</t>
  </si>
  <si>
    <t>sig</t>
  </si>
  <si>
    <t>Cramer V</t>
  </si>
  <si>
    <t>Pearson's</t>
  </si>
  <si>
    <t>Max likelihood</t>
  </si>
  <si>
    <t>Adjusted Residuals</t>
  </si>
  <si>
    <t>P-values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</si>
</sst>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CHI_MAX2"/>
      <definedName name="CHI_STAT2"/>
      <definedName name="CHISQ_INV_R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D61C-6835-41DE-BE2D-8EA46B51A39A}">
  <dimension ref="A1:B15"/>
  <sheetViews>
    <sheetView workbookViewId="0">
      <selection activeCell="B20" sqref="B20"/>
    </sheetView>
  </sheetViews>
  <sheetFormatPr defaultRowHeight="15" x14ac:dyDescent="0.25"/>
  <cols>
    <col min="1" max="1" width="21.42578125" customWidth="1"/>
    <col min="2" max="2" width="17.85546875" customWidth="1"/>
  </cols>
  <sheetData>
    <row r="1" spans="1:2" x14ac:dyDescent="0.25">
      <c r="A1" s="4">
        <v>93</v>
      </c>
      <c r="B1" s="4"/>
    </row>
    <row r="2" spans="1:2" x14ac:dyDescent="0.25">
      <c r="A2" s="1"/>
      <c r="B2" s="1"/>
    </row>
    <row r="3" spans="1:2" x14ac:dyDescent="0.25">
      <c r="A3" s="1" t="s">
        <v>3</v>
      </c>
      <c r="B3" s="1">
        <v>62.636363636363633</v>
      </c>
    </row>
    <row r="4" spans="1:2" x14ac:dyDescent="0.25">
      <c r="A4" s="1" t="s">
        <v>4</v>
      </c>
      <c r="B4" s="1">
        <v>9.5719977275314783</v>
      </c>
    </row>
    <row r="5" spans="1:2" x14ac:dyDescent="0.25">
      <c r="A5" s="1" t="s">
        <v>5</v>
      </c>
      <c r="B5" s="1">
        <v>73</v>
      </c>
    </row>
    <row r="6" spans="1:2" x14ac:dyDescent="0.25">
      <c r="A6" s="1" t="s">
        <v>6</v>
      </c>
      <c r="B6" s="1">
        <v>97</v>
      </c>
    </row>
    <row r="7" spans="1:2" x14ac:dyDescent="0.25">
      <c r="A7" s="1" t="s">
        <v>7</v>
      </c>
      <c r="B7" s="1">
        <v>31.746724956356452</v>
      </c>
    </row>
    <row r="8" spans="1:2" x14ac:dyDescent="0.25">
      <c r="A8" s="1" t="s">
        <v>8</v>
      </c>
      <c r="B8" s="1">
        <v>1007.8545454545456</v>
      </c>
    </row>
    <row r="9" spans="1:2" x14ac:dyDescent="0.25">
      <c r="A9" s="1" t="s">
        <v>9</v>
      </c>
      <c r="B9" s="1">
        <v>-0.89450993689573144</v>
      </c>
    </row>
    <row r="10" spans="1:2" x14ac:dyDescent="0.25">
      <c r="A10" s="1" t="s">
        <v>10</v>
      </c>
      <c r="B10" s="1">
        <v>-0.63306143075702992</v>
      </c>
    </row>
    <row r="11" spans="1:2" x14ac:dyDescent="0.25">
      <c r="A11" s="1" t="s">
        <v>11</v>
      </c>
      <c r="B11" s="1">
        <v>86</v>
      </c>
    </row>
    <row r="12" spans="1:2" x14ac:dyDescent="0.25">
      <c r="A12" s="1" t="s">
        <v>12</v>
      </c>
      <c r="B12" s="1">
        <v>11</v>
      </c>
    </row>
    <row r="13" spans="1:2" x14ac:dyDescent="0.25">
      <c r="A13" s="1" t="s">
        <v>13</v>
      </c>
      <c r="B13" s="1">
        <v>97</v>
      </c>
    </row>
    <row r="14" spans="1:2" x14ac:dyDescent="0.25">
      <c r="A14" s="1" t="s">
        <v>14</v>
      </c>
      <c r="B14" s="1">
        <v>689</v>
      </c>
    </row>
    <row r="15" spans="1:2" ht="15.75" thickBot="1" x14ac:dyDescent="0.3">
      <c r="A15" s="2" t="s">
        <v>15</v>
      </c>
      <c r="B15" s="2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C5A4-DEAC-44B6-8A68-3AC4D0674895}">
  <dimension ref="A1:G14"/>
  <sheetViews>
    <sheetView workbookViewId="0">
      <selection activeCell="G10" sqref="G10"/>
    </sheetView>
  </sheetViews>
  <sheetFormatPr defaultRowHeight="15" x14ac:dyDescent="0.25"/>
  <cols>
    <col min="1" max="1" width="19.85546875" customWidth="1"/>
    <col min="2" max="7" width="14.140625" customWidth="1"/>
    <col min="8" max="8" width="19.85546875" customWidth="1"/>
  </cols>
  <sheetData>
    <row r="1" spans="1:7" x14ac:dyDescent="0.25">
      <c r="A1" t="s">
        <v>36</v>
      </c>
    </row>
    <row r="3" spans="1:7" ht="15.75" thickBot="1" x14ac:dyDescent="0.3">
      <c r="A3" t="s">
        <v>37</v>
      </c>
    </row>
    <row r="4" spans="1:7" x14ac:dyDescent="0.25">
      <c r="A4" s="3" t="s">
        <v>38</v>
      </c>
      <c r="B4" s="3" t="s">
        <v>15</v>
      </c>
      <c r="C4" s="3" t="s">
        <v>14</v>
      </c>
      <c r="D4" s="3" t="s">
        <v>39</v>
      </c>
      <c r="E4" s="3" t="s">
        <v>17</v>
      </c>
    </row>
    <row r="5" spans="1:7" x14ac:dyDescent="0.25">
      <c r="A5" s="1">
        <v>93</v>
      </c>
      <c r="B5" s="1">
        <v>11</v>
      </c>
      <c r="C5" s="1">
        <v>689</v>
      </c>
      <c r="D5" s="1">
        <v>62.636363636363633</v>
      </c>
      <c r="E5" s="1">
        <v>1007.8545454545456</v>
      </c>
    </row>
    <row r="6" spans="1:7" ht="15.75" thickBot="1" x14ac:dyDescent="0.3">
      <c r="A6" s="2">
        <v>80</v>
      </c>
      <c r="B6" s="2">
        <v>11</v>
      </c>
      <c r="C6" s="2">
        <v>676</v>
      </c>
      <c r="D6" s="2">
        <v>61.454545454545453</v>
      </c>
      <c r="E6" s="2">
        <v>1031.0727272727272</v>
      </c>
    </row>
    <row r="9" spans="1:7" ht="15.75" thickBot="1" x14ac:dyDescent="0.3">
      <c r="A9" t="s">
        <v>27</v>
      </c>
    </row>
    <row r="10" spans="1:7" x14ac:dyDescent="0.25">
      <c r="A10" s="3" t="s">
        <v>40</v>
      </c>
      <c r="B10" s="3" t="s">
        <v>29</v>
      </c>
      <c r="C10" s="3" t="s">
        <v>21</v>
      </c>
      <c r="D10" s="3" t="s">
        <v>30</v>
      </c>
      <c r="E10" s="3" t="s">
        <v>31</v>
      </c>
      <c r="F10" s="3" t="s">
        <v>32</v>
      </c>
      <c r="G10" s="3" t="s">
        <v>41</v>
      </c>
    </row>
    <row r="11" spans="1:7" x14ac:dyDescent="0.25">
      <c r="A11" s="1" t="s">
        <v>42</v>
      </c>
      <c r="B11" s="1">
        <v>7.6818181818234734</v>
      </c>
      <c r="C11" s="1">
        <v>1</v>
      </c>
      <c r="D11" s="1">
        <v>7.6818181818234734</v>
      </c>
      <c r="E11" s="1">
        <v>7.5351566331723638E-3</v>
      </c>
      <c r="F11" s="1">
        <v>0.93168950049418875</v>
      </c>
      <c r="G11" s="1">
        <v>4.3512435033292896</v>
      </c>
    </row>
    <row r="12" spans="1:7" x14ac:dyDescent="0.25">
      <c r="A12" s="1" t="s">
        <v>43</v>
      </c>
      <c r="B12" s="1">
        <v>20389.272727272728</v>
      </c>
      <c r="C12" s="1">
        <v>20</v>
      </c>
      <c r="D12" s="1">
        <v>1019.4636363636364</v>
      </c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15.75" thickBot="1" x14ac:dyDescent="0.3">
      <c r="A14" s="2" t="s">
        <v>28</v>
      </c>
      <c r="B14" s="2">
        <v>20396.954545454551</v>
      </c>
      <c r="C14" s="2">
        <v>21</v>
      </c>
      <c r="D14" s="2"/>
      <c r="E14" s="2"/>
      <c r="F14" s="2"/>
      <c r="G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0FFE-CF88-46E1-B4A1-556954118FA7}">
  <dimension ref="A1:C10"/>
  <sheetViews>
    <sheetView workbookViewId="0">
      <selection activeCell="D9" sqref="D9"/>
    </sheetView>
  </sheetViews>
  <sheetFormatPr defaultRowHeight="15" x14ac:dyDescent="0.25"/>
  <cols>
    <col min="1" max="1" width="21.28515625" customWidth="1"/>
    <col min="2" max="2" width="16" customWidth="1"/>
    <col min="3" max="3" width="15.5703125" customWidth="1"/>
  </cols>
  <sheetData>
    <row r="1" spans="1:3" x14ac:dyDescent="0.25">
      <c r="A1" t="s">
        <v>33</v>
      </c>
    </row>
    <row r="2" spans="1:3" ht="15.75" thickBot="1" x14ac:dyDescent="0.3"/>
    <row r="3" spans="1:3" x14ac:dyDescent="0.25">
      <c r="A3" s="3"/>
      <c r="B3" s="3">
        <v>93</v>
      </c>
      <c r="C3" s="3">
        <v>80</v>
      </c>
    </row>
    <row r="4" spans="1:3" x14ac:dyDescent="0.25">
      <c r="A4" s="1" t="s">
        <v>3</v>
      </c>
      <c r="B4" s="1">
        <v>62.636363636363633</v>
      </c>
      <c r="C4" s="1">
        <v>61.454545454545453</v>
      </c>
    </row>
    <row r="5" spans="1:3" x14ac:dyDescent="0.25">
      <c r="A5" s="1" t="s">
        <v>17</v>
      </c>
      <c r="B5" s="1">
        <v>1007.8545454545456</v>
      </c>
      <c r="C5" s="1">
        <v>1031.0727272727272</v>
      </c>
    </row>
    <row r="6" spans="1:3" x14ac:dyDescent="0.25">
      <c r="A6" s="1" t="s">
        <v>18</v>
      </c>
      <c r="B6" s="1">
        <v>11</v>
      </c>
      <c r="C6" s="1">
        <v>11</v>
      </c>
    </row>
    <row r="7" spans="1:3" x14ac:dyDescent="0.25">
      <c r="A7" s="1" t="s">
        <v>21</v>
      </c>
      <c r="B7" s="1">
        <v>10</v>
      </c>
      <c r="C7" s="1">
        <v>10</v>
      </c>
    </row>
    <row r="8" spans="1:3" x14ac:dyDescent="0.25">
      <c r="A8" s="1" t="s">
        <v>31</v>
      </c>
      <c r="B8" s="1">
        <v>0.97748152850517578</v>
      </c>
      <c r="C8" s="1"/>
    </row>
    <row r="9" spans="1:3" x14ac:dyDescent="0.25">
      <c r="A9" s="1" t="s">
        <v>34</v>
      </c>
      <c r="B9" s="1">
        <v>0.4859905213234228</v>
      </c>
      <c r="C9" s="1"/>
    </row>
    <row r="10" spans="1:3" ht="15.75" thickBot="1" x14ac:dyDescent="0.3">
      <c r="A10" s="2" t="s">
        <v>35</v>
      </c>
      <c r="B10" s="2">
        <v>0.33576911259918313</v>
      </c>
      <c r="C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C99D-1E8C-4E43-BE01-EE519439672A}">
  <dimension ref="A1:C14"/>
  <sheetViews>
    <sheetView workbookViewId="0">
      <selection activeCell="D5" sqref="D5"/>
    </sheetView>
  </sheetViews>
  <sheetFormatPr defaultRowHeight="15" x14ac:dyDescent="0.25"/>
  <cols>
    <col min="1" max="1" width="29" customWidth="1"/>
    <col min="2" max="2" width="14.140625" customWidth="1"/>
    <col min="3" max="3" width="9.42578125" customWidth="1"/>
    <col min="4" max="4" width="13.7109375" customWidth="1"/>
  </cols>
  <sheetData>
    <row r="1" spans="1:3" x14ac:dyDescent="0.25">
      <c r="A1" t="s">
        <v>16</v>
      </c>
    </row>
    <row r="2" spans="1:3" ht="15.75" thickBot="1" x14ac:dyDescent="0.3"/>
    <row r="3" spans="1:3" x14ac:dyDescent="0.25">
      <c r="A3" s="3"/>
      <c r="B3" s="3" t="s">
        <v>44</v>
      </c>
      <c r="C3" s="3" t="s">
        <v>45</v>
      </c>
    </row>
    <row r="4" spans="1:3" x14ac:dyDescent="0.25">
      <c r="A4" s="1" t="s">
        <v>3</v>
      </c>
      <c r="B4" s="1">
        <v>65.166666666666671</v>
      </c>
      <c r="C4" s="1">
        <v>63</v>
      </c>
    </row>
    <row r="5" spans="1:3" x14ac:dyDescent="0.25">
      <c r="A5" s="1" t="s">
        <v>17</v>
      </c>
      <c r="B5" s="1">
        <v>993.06060606060589</v>
      </c>
      <c r="C5" s="1">
        <v>966</v>
      </c>
    </row>
    <row r="6" spans="1:3" x14ac:dyDescent="0.25">
      <c r="A6" s="1" t="s">
        <v>18</v>
      </c>
      <c r="B6" s="1">
        <v>12</v>
      </c>
      <c r="C6" s="1">
        <v>12</v>
      </c>
    </row>
    <row r="7" spans="1:3" x14ac:dyDescent="0.25">
      <c r="A7" s="1" t="s">
        <v>19</v>
      </c>
      <c r="B7" s="1">
        <v>-0.27214154156402404</v>
      </c>
      <c r="C7" s="1"/>
    </row>
    <row r="8" spans="1:3" x14ac:dyDescent="0.25">
      <c r="A8" s="1" t="s">
        <v>20</v>
      </c>
      <c r="B8" s="1">
        <v>0</v>
      </c>
      <c r="C8" s="1"/>
    </row>
    <row r="9" spans="1:3" x14ac:dyDescent="0.25">
      <c r="A9" s="1" t="s">
        <v>21</v>
      </c>
      <c r="B9" s="1">
        <v>11</v>
      </c>
      <c r="C9" s="1"/>
    </row>
    <row r="10" spans="1:3" x14ac:dyDescent="0.25">
      <c r="A10" s="1" t="s">
        <v>22</v>
      </c>
      <c r="B10" s="1">
        <v>0.15034725513536076</v>
      </c>
      <c r="C10" s="1"/>
    </row>
    <row r="11" spans="1:3" x14ac:dyDescent="0.25">
      <c r="A11" s="1" t="s">
        <v>23</v>
      </c>
      <c r="B11" s="1">
        <v>0.44160605243680784</v>
      </c>
      <c r="C11" s="1"/>
    </row>
    <row r="12" spans="1:3" x14ac:dyDescent="0.25">
      <c r="A12" s="1" t="s">
        <v>24</v>
      </c>
      <c r="B12" s="1">
        <v>1.7958848187040437</v>
      </c>
      <c r="C12" s="1"/>
    </row>
    <row r="13" spans="1:3" x14ac:dyDescent="0.25">
      <c r="A13" s="1" t="s">
        <v>25</v>
      </c>
      <c r="B13" s="1">
        <v>0.88321210487361568</v>
      </c>
      <c r="C13" s="1"/>
    </row>
    <row r="14" spans="1:3" ht="15.75" thickBot="1" x14ac:dyDescent="0.3">
      <c r="A14" s="2" t="s">
        <v>26</v>
      </c>
      <c r="B14" s="2">
        <v>2.2009851600916384</v>
      </c>
      <c r="C1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245F-48C7-456F-9D8B-CACB768779EF}">
  <dimension ref="A1:P30"/>
  <sheetViews>
    <sheetView tabSelected="1" workbookViewId="0">
      <selection activeCell="L18" sqref="L18"/>
    </sheetView>
  </sheetViews>
  <sheetFormatPr defaultRowHeight="15" x14ac:dyDescent="0.25"/>
  <cols>
    <col min="1" max="4" width="13" customWidth="1"/>
    <col min="5" max="5" width="11.5703125" customWidth="1"/>
    <col min="6" max="11" width="13" customWidth="1"/>
    <col min="12" max="12" width="11.5703125" customWidth="1"/>
    <col min="13" max="16" width="13" customWidth="1"/>
  </cols>
  <sheetData>
    <row r="1" spans="1:16" x14ac:dyDescent="0.25">
      <c r="A1" t="s">
        <v>46</v>
      </c>
      <c r="F1" t="s">
        <v>47</v>
      </c>
      <c r="M1" t="s">
        <v>60</v>
      </c>
    </row>
    <row r="3" spans="1:16" ht="15.75" thickBot="1" x14ac:dyDescent="0.3">
      <c r="A3">
        <f>IF(Sheet1!B3="","",Sheet1!B3)</f>
        <v>93</v>
      </c>
      <c r="B3">
        <f>IF(Sheet1!C3="","",Sheet1!C3)</f>
        <v>80</v>
      </c>
      <c r="C3">
        <f>IF(Sheet1!D3="","",Sheet1!D3)</f>
        <v>93</v>
      </c>
      <c r="D3" t="s">
        <v>28</v>
      </c>
      <c r="F3" t="s">
        <v>37</v>
      </c>
      <c r="H3" t="s">
        <v>48</v>
      </c>
      <c r="I3">
        <v>0.05</v>
      </c>
      <c r="N3">
        <f>Sheet1!C3</f>
        <v>80</v>
      </c>
      <c r="O3">
        <f>Sheet1!D3</f>
        <v>93</v>
      </c>
    </row>
    <row r="4" spans="1:16" ht="15.75" thickTop="1" x14ac:dyDescent="0.25">
      <c r="A4">
        <f>IF(Sheet1!B4="","",Sheet1!B4)</f>
        <v>60</v>
      </c>
      <c r="B4" s="5">
        <f t="array" ref="B4:C14">MMULT(D4:D14,B15:C15)/D15</f>
        <v>62.427440633245382</v>
      </c>
      <c r="C4" s="6">
        <v>42.572559366754618</v>
      </c>
      <c r="D4">
        <f>SUM(Sheet1!C4:D4)</f>
        <v>105</v>
      </c>
      <c r="F4" s="11" t="s">
        <v>15</v>
      </c>
      <c r="G4" s="11" t="s">
        <v>49</v>
      </c>
      <c r="H4" s="11" t="s">
        <v>50</v>
      </c>
      <c r="I4" s="11" t="s">
        <v>21</v>
      </c>
      <c r="M4">
        <f>Sheet1!B4</f>
        <v>60</v>
      </c>
      <c r="N4" s="5">
        <f>(Sheet1!C4-B4)/SQRT(B4*$P4*N$15)</f>
        <v>-3.6359340747009066</v>
      </c>
      <c r="O4" s="6">
        <f>(Sheet1!D4-C4)/SQRT(C4*$P4*O$15)</f>
        <v>3.6359340747009075</v>
      </c>
      <c r="P4">
        <f>1-SUM(Sheet1!C4:D4)/P$15</f>
        <v>0.90765171503957787</v>
      </c>
    </row>
    <row r="5" spans="1:16" x14ac:dyDescent="0.25">
      <c r="A5">
        <f>IF(Sheet1!B5="","",Sheet1!B5)</f>
        <v>77</v>
      </c>
      <c r="B5" s="7">
        <v>47.563764291996485</v>
      </c>
      <c r="C5" s="8">
        <v>32.436235708003515</v>
      </c>
      <c r="D5">
        <f>SUM(Sheet1!C5:D5)</f>
        <v>80</v>
      </c>
      <c r="F5">
        <f>D15</f>
        <v>1137</v>
      </c>
      <c r="G5">
        <f>COUNT(Sheet1!C4:C14)</f>
        <v>11</v>
      </c>
      <c r="H5">
        <f>COUNT(Sheet1!C4:D4)</f>
        <v>2</v>
      </c>
      <c r="I5">
        <f>(G5-1)*(H5-1)</f>
        <v>10</v>
      </c>
      <c r="M5">
        <f>Sheet1!B5</f>
        <v>77</v>
      </c>
      <c r="N5" s="7">
        <f>(Sheet1!C5-B5)/SQRT(B5*$P5*N$15)</f>
        <v>-4.6204770872047654</v>
      </c>
      <c r="O5" s="8">
        <f>(Sheet1!D5-C5)/SQRT(C5*$P5*O$15)</f>
        <v>4.6204770872047671</v>
      </c>
      <c r="P5">
        <f>1-SUM(Sheet1!C5:D5)/P$15</f>
        <v>0.92963940193491645</v>
      </c>
    </row>
    <row r="6" spans="1:16" x14ac:dyDescent="0.25">
      <c r="A6">
        <f>IF(Sheet1!B6="","",Sheet1!B6)</f>
        <v>12</v>
      </c>
      <c r="B6" s="7">
        <v>76.102022867194364</v>
      </c>
      <c r="C6" s="8">
        <v>51.897977132805629</v>
      </c>
      <c r="D6">
        <f>SUM(Sheet1!C6:D6)</f>
        <v>128</v>
      </c>
      <c r="M6">
        <f>Sheet1!B6</f>
        <v>12</v>
      </c>
      <c r="N6" s="7">
        <f>(Sheet1!C6-B6)/SQRT(B6*$P6*N$15)</f>
        <v>2.6559378686195019</v>
      </c>
      <c r="O6" s="8">
        <f>(Sheet1!D6-C6)/SQRT(C6*$P6*O$15)</f>
        <v>-2.6559378686195005</v>
      </c>
      <c r="P6">
        <f>1-SUM(Sheet1!C6:D6)/P$15</f>
        <v>0.88742304309586628</v>
      </c>
    </row>
    <row r="7" spans="1:16" ht="15.75" thickBot="1" x14ac:dyDescent="0.3">
      <c r="A7">
        <f>IF(Sheet1!B7="","",Sheet1!B7)</f>
        <v>73</v>
      </c>
      <c r="B7" s="7">
        <v>47.563764291996485</v>
      </c>
      <c r="C7" s="8">
        <v>32.436235708003515</v>
      </c>
      <c r="D7">
        <f>SUM(Sheet1!C7:D7)</f>
        <v>80</v>
      </c>
      <c r="F7" t="s">
        <v>51</v>
      </c>
      <c r="M7">
        <f>Sheet1!B7</f>
        <v>73</v>
      </c>
      <c r="N7" s="7">
        <f>(Sheet1!C7-B7)/SQRT(B7*$P7*N$15)</f>
        <v>-5.8013533792726975</v>
      </c>
      <c r="O7" s="8">
        <f>(Sheet1!D7-C7)/SQRT(C7*$P7*O$15)</f>
        <v>5.8013533792727001</v>
      </c>
      <c r="P7">
        <f>1-SUM(Sheet1!C7:D7)/P$15</f>
        <v>0.92963940193491645</v>
      </c>
    </row>
    <row r="8" spans="1:16" ht="15.75" thickTop="1" x14ac:dyDescent="0.25">
      <c r="A8">
        <f>IF(Sheet1!B8="","",Sheet1!B8)</f>
        <v>97</v>
      </c>
      <c r="B8" s="7">
        <v>47.563764291996485</v>
      </c>
      <c r="C8" s="8">
        <v>32.436235708003515</v>
      </c>
      <c r="D8">
        <f>SUM(Sheet1!C8:D8)</f>
        <v>80</v>
      </c>
      <c r="F8" s="11" t="s">
        <v>52</v>
      </c>
      <c r="G8" s="11" t="s">
        <v>53</v>
      </c>
      <c r="H8" s="11" t="s">
        <v>54</v>
      </c>
      <c r="I8" s="11" t="s">
        <v>55</v>
      </c>
      <c r="J8" s="11" t="s">
        <v>56</v>
      </c>
      <c r="K8" s="11" t="s">
        <v>57</v>
      </c>
      <c r="M8">
        <f>Sheet1!B8</f>
        <v>97</v>
      </c>
      <c r="N8" s="7">
        <f>(Sheet1!C8-B8)/SQRT(B8*$P8*N$15)</f>
        <v>4.5903579909251073</v>
      </c>
      <c r="O8" s="8">
        <f>(Sheet1!D8-C8)/SQRT(C8*$P8*O$15)</f>
        <v>-4.5903579909251091</v>
      </c>
      <c r="P8">
        <f>1-SUM(Sheet1!C8:D8)/P$15</f>
        <v>0.92963940193491645</v>
      </c>
    </row>
    <row r="9" spans="1:16" x14ac:dyDescent="0.25">
      <c r="A9">
        <f>IF(Sheet1!B9="","",Sheet1!B9)</f>
        <v>51</v>
      </c>
      <c r="B9" s="7">
        <v>92.154793315743177</v>
      </c>
      <c r="C9" s="8">
        <v>62.845206684256816</v>
      </c>
      <c r="D9">
        <f>SUM(Sheet1!C9:D9)</f>
        <v>155</v>
      </c>
      <c r="F9" t="s">
        <v>58</v>
      </c>
      <c r="G9">
        <f>[1]!CHI_STAT2(Sheet1!C4:D14,B4:C14)</f>
        <v>251.87144933534202</v>
      </c>
      <c r="H9">
        <f>_xlfn.CHISQ.DIST.RT(G9,I5)</f>
        <v>2.1932964316653925E-48</v>
      </c>
      <c r="I9">
        <f>[1]!CHISQ_INV_RT(I3,I5)</f>
        <v>18.307038053275139</v>
      </c>
      <c r="J9" s="12" t="str">
        <f>IF(I9&lt;G9,"yes","no")</f>
        <v>yes</v>
      </c>
      <c r="K9">
        <f>SQRT(G9/(F5*(MIN(G5,H5)-1)))</f>
        <v>0.47066211089743104</v>
      </c>
      <c r="M9">
        <f>Sheet1!B9</f>
        <v>51</v>
      </c>
      <c r="N9" s="7">
        <f>(Sheet1!C9-B9)/SQRT(B9*$P9*N$15)</f>
        <v>-2.1396506585509156</v>
      </c>
      <c r="O9" s="8">
        <f>(Sheet1!D9-C9)/SQRT(C9*$P9*O$15)</f>
        <v>2.1396506585509165</v>
      </c>
      <c r="P9">
        <f>1-SUM(Sheet1!C9:D9)/P$15</f>
        <v>0.86367634124890058</v>
      </c>
    </row>
    <row r="10" spans="1:16" x14ac:dyDescent="0.25">
      <c r="A10">
        <f>IF(Sheet1!B10="","",Sheet1!B10)</f>
        <v>36</v>
      </c>
      <c r="B10" s="7">
        <v>80.263852242744065</v>
      </c>
      <c r="C10" s="8">
        <v>54.736147757255935</v>
      </c>
      <c r="D10">
        <f>SUM(Sheet1!C10:D10)</f>
        <v>135</v>
      </c>
      <c r="F10" t="s">
        <v>59</v>
      </c>
      <c r="G10">
        <f>[1]!CHI_MAX2(Sheet1!C4:D14,B4:C14)</f>
        <v>285.17103449071965</v>
      </c>
      <c r="H10">
        <f>_xlfn.CHISQ.DIST.RT(G10,I5)</f>
        <v>2.1098691492731181E-55</v>
      </c>
      <c r="I10">
        <f>[1]!CHISQ_INV_RT(I3,I5)</f>
        <v>18.307038053275139</v>
      </c>
      <c r="J10" s="12" t="str">
        <f>IF(I10&lt;G10,"yes","no")</f>
        <v>yes</v>
      </c>
      <c r="K10">
        <f>SQRT(G10/(F5*(MIN(G5,H5)-1)))</f>
        <v>0.50080940158913756</v>
      </c>
      <c r="M10">
        <f>Sheet1!B10</f>
        <v>36</v>
      </c>
      <c r="N10" s="7">
        <f>(Sheet1!C10-B10)/SQRT(B10*$P10*N$15)</f>
        <v>2.191501185679932</v>
      </c>
      <c r="O10" s="8">
        <f>(Sheet1!D10-C10)/SQRT(C10*$P10*O$15)</f>
        <v>-2.1915011856799325</v>
      </c>
      <c r="P10">
        <f>1-SUM(Sheet1!C10:D10)/P$15</f>
        <v>0.8812664907651715</v>
      </c>
    </row>
    <row r="11" spans="1:16" x14ac:dyDescent="0.25">
      <c r="A11">
        <f>IF(Sheet1!B11="","",Sheet1!B11)</f>
        <v>97</v>
      </c>
      <c r="B11" s="7">
        <v>60.049252418645558</v>
      </c>
      <c r="C11" s="8">
        <v>40.950747581354442</v>
      </c>
      <c r="D11">
        <f>SUM(Sheet1!C11:D11)</f>
        <v>101</v>
      </c>
      <c r="F11" s="13"/>
      <c r="G11" s="13"/>
      <c r="H11" s="13"/>
      <c r="I11" s="13"/>
      <c r="J11" s="13"/>
      <c r="K11" s="13"/>
      <c r="M11">
        <f>Sheet1!B11</f>
        <v>97</v>
      </c>
      <c r="N11" s="7">
        <f>(Sheet1!C11-B11)/SQRT(B11*$P11*N$15)</f>
        <v>8.0574321507309872</v>
      </c>
      <c r="O11" s="8">
        <f>(Sheet1!D11-C11)/SQRT(C11*$P11*O$15)</f>
        <v>-8.057432150730989</v>
      </c>
      <c r="P11">
        <f>1-SUM(Sheet1!C11:D11)/P$15</f>
        <v>0.91116974494283198</v>
      </c>
    </row>
    <row r="12" spans="1:16" x14ac:dyDescent="0.25">
      <c r="A12">
        <f>IF(Sheet1!B12="","",Sheet1!B12)</f>
        <v>94</v>
      </c>
      <c r="B12" s="7">
        <v>38.645558487247143</v>
      </c>
      <c r="C12" s="8">
        <v>26.354441512752857</v>
      </c>
      <c r="D12">
        <f>SUM(Sheet1!C12:D12)</f>
        <v>65</v>
      </c>
      <c r="M12">
        <f>Sheet1!B12</f>
        <v>94</v>
      </c>
      <c r="N12" s="7">
        <f>(Sheet1!C12-B12)/SQRT(B12*$P12*N$15)</f>
        <v>-9.2740245006355231</v>
      </c>
      <c r="O12" s="8">
        <f>(Sheet1!D12-C12)/SQRT(C12*$P12*O$15)</f>
        <v>9.2740245006355249</v>
      </c>
      <c r="P12">
        <f>1-SUM(Sheet1!C12:D12)/P$15</f>
        <v>0.94283201407211958</v>
      </c>
    </row>
    <row r="13" spans="1:16" x14ac:dyDescent="0.25">
      <c r="A13">
        <f>IF(Sheet1!B13="","",Sheet1!B13)</f>
        <v>11</v>
      </c>
      <c r="B13" s="7">
        <v>55.887423043095865</v>
      </c>
      <c r="C13" s="8">
        <v>38.112576956904135</v>
      </c>
      <c r="D13">
        <f>SUM(Sheet1!C13:D13)</f>
        <v>94</v>
      </c>
      <c r="M13">
        <f>Sheet1!B13</f>
        <v>11</v>
      </c>
      <c r="N13" s="7">
        <f>(Sheet1!C13-B13)/SQRT(B13*$P13*N$15)</f>
        <v>1.9987202584331205</v>
      </c>
      <c r="O13" s="8">
        <f>(Sheet1!D13-C13)/SQRT(C13*$P13*O$15)</f>
        <v>-1.9987202584331205</v>
      </c>
      <c r="P13">
        <f>1-SUM(Sheet1!C13:D13)/P$15</f>
        <v>0.91732629727352677</v>
      </c>
    </row>
    <row r="14" spans="1:16" x14ac:dyDescent="0.25">
      <c r="A14">
        <f>IF(Sheet1!B14="","",Sheet1!B14)</f>
        <v>81</v>
      </c>
      <c r="B14" s="9">
        <v>67.778364116094991</v>
      </c>
      <c r="C14" s="10">
        <v>46.221635883905016</v>
      </c>
      <c r="D14">
        <f>SUM(Sheet1!C14:D14)</f>
        <v>114</v>
      </c>
      <c r="M14">
        <f>Sheet1!B14</f>
        <v>81</v>
      </c>
      <c r="N14" s="9">
        <f>(Sheet1!C14-B14)/SQRT(B14*$P14*N$15)</f>
        <v>3.4633871921966679</v>
      </c>
      <c r="O14" s="10">
        <f>(Sheet1!D14-C14)/SQRT(C14*$P14*O$15)</f>
        <v>-3.4633871921966697</v>
      </c>
      <c r="P14">
        <f>1-SUM(Sheet1!C14:D14)/P$15</f>
        <v>0.89973614775725597</v>
      </c>
    </row>
    <row r="15" spans="1:16" x14ac:dyDescent="0.25">
      <c r="A15" t="s">
        <v>28</v>
      </c>
      <c r="B15">
        <f>SUM(Sheet1!C4:C14)</f>
        <v>676</v>
      </c>
      <c r="C15">
        <f>SUM(Sheet1!D4:D14)</f>
        <v>461</v>
      </c>
      <c r="D15">
        <f>SUM(D4:D14)</f>
        <v>1137</v>
      </c>
      <c r="N15">
        <f>1-SUM(Sheet1!C4:C14)/$P15</f>
        <v>0.40545294635004403</v>
      </c>
      <c r="O15">
        <f>1-SUM(Sheet1!D4:D14)/$P15</f>
        <v>0.59454705364995597</v>
      </c>
      <c r="P15">
        <f>SUM(Sheet1!C4:D14)</f>
        <v>1137</v>
      </c>
    </row>
    <row r="17" spans="13:15" x14ac:dyDescent="0.25">
      <c r="M17" t="s">
        <v>61</v>
      </c>
    </row>
    <row r="19" spans="13:15" x14ac:dyDescent="0.25">
      <c r="N19">
        <f t="shared" ref="N19:O19" si="0">N3</f>
        <v>80</v>
      </c>
      <c r="O19">
        <f t="shared" si="0"/>
        <v>93</v>
      </c>
    </row>
    <row r="20" spans="13:15" x14ac:dyDescent="0.25">
      <c r="M20">
        <f t="shared" ref="M20:M30" si="1">M4</f>
        <v>60</v>
      </c>
      <c r="N20" s="5">
        <f>2*_xlfn.NORM.S.DIST(-ABS(N4),TRUE)</f>
        <v>2.7697516558041781E-4</v>
      </c>
      <c r="O20" s="6">
        <f>2*_xlfn.NORM.S.DIST(-ABS(O4),TRUE)</f>
        <v>2.7697516558041629E-4</v>
      </c>
    </row>
    <row r="21" spans="13:15" x14ac:dyDescent="0.25">
      <c r="M21">
        <f t="shared" si="1"/>
        <v>77</v>
      </c>
      <c r="N21" s="7">
        <f t="shared" ref="N21:O21" si="2">2*_xlfn.NORM.S.DIST(-ABS(N5),TRUE)</f>
        <v>3.8285862641326337E-6</v>
      </c>
      <c r="O21" s="8">
        <f t="shared" si="2"/>
        <v>3.8285862641326134E-6</v>
      </c>
    </row>
    <row r="22" spans="13:15" x14ac:dyDescent="0.25">
      <c r="M22">
        <f t="shared" si="1"/>
        <v>12</v>
      </c>
      <c r="N22" s="7">
        <f t="shared" ref="N22:O22" si="3">2*_xlfn.NORM.S.DIST(-ABS(N6),TRUE)</f>
        <v>7.9088184310212063E-3</v>
      </c>
      <c r="O22" s="8">
        <f t="shared" si="3"/>
        <v>7.9088184310212445E-3</v>
      </c>
    </row>
    <row r="23" spans="13:15" x14ac:dyDescent="0.25">
      <c r="M23">
        <f t="shared" si="1"/>
        <v>73</v>
      </c>
      <c r="N23" s="7">
        <f t="shared" ref="N23:O23" si="4">2*_xlfn.NORM.S.DIST(-ABS(N7),TRUE)</f>
        <v>6.5781802162680045E-9</v>
      </c>
      <c r="O23" s="8">
        <f t="shared" si="4"/>
        <v>6.5781802162679086E-9</v>
      </c>
    </row>
    <row r="24" spans="13:15" x14ac:dyDescent="0.25">
      <c r="M24">
        <f t="shared" si="1"/>
        <v>97</v>
      </c>
      <c r="N24" s="7">
        <f t="shared" ref="N24:O24" si="5">2*_xlfn.NORM.S.DIST(-ABS(N8),TRUE)</f>
        <v>4.4248642612747551E-6</v>
      </c>
      <c r="O24" s="8">
        <f t="shared" si="5"/>
        <v>4.4248642612747136E-6</v>
      </c>
    </row>
    <row r="25" spans="13:15" x14ac:dyDescent="0.25">
      <c r="M25">
        <f t="shared" si="1"/>
        <v>51</v>
      </c>
      <c r="N25" s="7">
        <f t="shared" ref="N25:O25" si="6">2*_xlfn.NORM.S.DIST(-ABS(N9),TRUE)</f>
        <v>3.2383009366285992E-2</v>
      </c>
      <c r="O25" s="8">
        <f t="shared" si="6"/>
        <v>3.2383009366285895E-2</v>
      </c>
    </row>
    <row r="26" spans="13:15" x14ac:dyDescent="0.25">
      <c r="M26">
        <f t="shared" si="1"/>
        <v>36</v>
      </c>
      <c r="N26" s="7">
        <f t="shared" ref="N26:O26" si="7">2*_xlfn.NORM.S.DIST(-ABS(N10),TRUE)</f>
        <v>2.8415544032462586E-2</v>
      </c>
      <c r="O26" s="8">
        <f t="shared" si="7"/>
        <v>2.8415544032462568E-2</v>
      </c>
    </row>
    <row r="27" spans="13:15" x14ac:dyDescent="0.25">
      <c r="M27">
        <f t="shared" si="1"/>
        <v>97</v>
      </c>
      <c r="N27" s="7">
        <f t="shared" ref="N27:O27" si="8">2*_xlfn.NORM.S.DIST(-ABS(N11),TRUE)</f>
        <v>7.7913813414103886E-16</v>
      </c>
      <c r="O27" s="8">
        <f t="shared" si="8"/>
        <v>7.7913813414102772E-16</v>
      </c>
    </row>
    <row r="28" spans="13:15" x14ac:dyDescent="0.25">
      <c r="M28">
        <f t="shared" si="1"/>
        <v>94</v>
      </c>
      <c r="N28" s="7">
        <f t="shared" ref="N28:O28" si="9">2*_xlfn.NORM.S.DIST(-ABS(N12),TRUE)</f>
        <v>1.7925174107048164E-20</v>
      </c>
      <c r="O28" s="8">
        <f t="shared" si="9"/>
        <v>1.7925174107047646E-20</v>
      </c>
    </row>
    <row r="29" spans="13:15" x14ac:dyDescent="0.25">
      <c r="M29">
        <f t="shared" si="1"/>
        <v>11</v>
      </c>
      <c r="N29" s="7">
        <f t="shared" ref="N29:O29" si="10">2*_xlfn.NORM.S.DIST(-ABS(N13),TRUE)</f>
        <v>4.5638629823873698E-2</v>
      </c>
      <c r="O29" s="8">
        <f t="shared" si="10"/>
        <v>4.5638629823873698E-2</v>
      </c>
    </row>
    <row r="30" spans="13:15" x14ac:dyDescent="0.25">
      <c r="M30">
        <f t="shared" si="1"/>
        <v>81</v>
      </c>
      <c r="N30" s="9">
        <f t="shared" ref="N30:O30" si="11">2*_xlfn.NORM.S.DIST(-ABS(N14),TRUE)</f>
        <v>5.3342021063001533E-4</v>
      </c>
      <c r="O30" s="10">
        <f t="shared" si="11"/>
        <v>5.3342021063001175E-4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2E1E-0233-45B4-B18B-CB0F8FB63DD9}">
  <dimension ref="B2:D14"/>
  <sheetViews>
    <sheetView workbookViewId="0">
      <selection activeCell="F13" sqref="F13"/>
    </sheetView>
  </sheetViews>
  <sheetFormatPr defaultRowHeight="15" x14ac:dyDescent="0.2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>
        <v>93</v>
      </c>
      <c r="C3">
        <v>80</v>
      </c>
      <c r="D3">
        <v>93</v>
      </c>
    </row>
    <row r="4" spans="2:4" x14ac:dyDescent="0.25">
      <c r="B4">
        <v>60</v>
      </c>
      <c r="C4">
        <v>45</v>
      </c>
      <c r="D4">
        <v>60</v>
      </c>
    </row>
    <row r="5" spans="2:4" x14ac:dyDescent="0.25">
      <c r="B5">
        <v>77</v>
      </c>
      <c r="C5">
        <v>28</v>
      </c>
      <c r="D5">
        <v>52</v>
      </c>
    </row>
    <row r="6" spans="2:4" x14ac:dyDescent="0.25">
      <c r="B6">
        <v>12</v>
      </c>
      <c r="C6">
        <v>90</v>
      </c>
      <c r="D6">
        <v>38</v>
      </c>
    </row>
    <row r="7" spans="2:4" x14ac:dyDescent="0.25">
      <c r="B7">
        <v>73</v>
      </c>
      <c r="C7">
        <v>23</v>
      </c>
      <c r="D7">
        <v>57</v>
      </c>
    </row>
    <row r="8" spans="2:4" x14ac:dyDescent="0.25">
      <c r="B8">
        <v>97</v>
      </c>
      <c r="C8">
        <v>67</v>
      </c>
      <c r="D8">
        <v>13</v>
      </c>
    </row>
    <row r="9" spans="2:4" x14ac:dyDescent="0.25">
      <c r="B9">
        <v>51</v>
      </c>
      <c r="C9">
        <v>80</v>
      </c>
      <c r="D9">
        <v>75</v>
      </c>
    </row>
    <row r="10" spans="2:4" x14ac:dyDescent="0.25">
      <c r="B10">
        <v>36</v>
      </c>
      <c r="C10">
        <v>92</v>
      </c>
      <c r="D10">
        <v>43</v>
      </c>
    </row>
    <row r="11" spans="2:4" x14ac:dyDescent="0.25">
      <c r="B11">
        <v>97</v>
      </c>
      <c r="C11">
        <v>98</v>
      </c>
      <c r="D11">
        <v>3</v>
      </c>
    </row>
    <row r="12" spans="2:4" x14ac:dyDescent="0.25">
      <c r="B12">
        <v>94</v>
      </c>
      <c r="C12">
        <v>3</v>
      </c>
      <c r="D12">
        <v>62</v>
      </c>
    </row>
    <row r="13" spans="2:4" x14ac:dyDescent="0.25">
      <c r="B13">
        <v>11</v>
      </c>
      <c r="C13">
        <v>65</v>
      </c>
      <c r="D13">
        <v>29</v>
      </c>
    </row>
    <row r="14" spans="2:4" x14ac:dyDescent="0.25">
      <c r="B14">
        <v>81</v>
      </c>
      <c r="C14">
        <v>85</v>
      </c>
      <c r="D1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Descriptive statistics</vt:lpstr>
      <vt:lpstr>Anova one way</vt:lpstr>
      <vt:lpstr>f test</vt:lpstr>
      <vt:lpstr>T test 1</vt:lpstr>
      <vt:lpstr>Chi square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Victory</dc:creator>
  <cp:lastModifiedBy>Mr. Victory</cp:lastModifiedBy>
  <dcterms:created xsi:type="dcterms:W3CDTF">2025-11-25T03:34:02Z</dcterms:created>
  <dcterms:modified xsi:type="dcterms:W3CDTF">2025-11-25T05:06:50Z</dcterms:modified>
</cp:coreProperties>
</file>