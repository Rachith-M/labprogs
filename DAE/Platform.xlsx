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df55b3615f541ea/Documents/Rachith's files/DAE/"/>
    </mc:Choice>
  </mc:AlternateContent>
  <xr:revisionPtr revIDLastSave="3" documentId="8_{0AA8B2E2-7205-4815-88F5-D391C5CB49AC}" xr6:coauthVersionLast="47" xr6:coauthVersionMax="47" xr10:uidLastSave="{317E6D4E-E80B-4D2E-B7E0-37B81C67E661}"/>
  <bookViews>
    <workbookView xWindow="-120" yWindow="-120" windowWidth="29040" windowHeight="15720" activeTab="2" xr2:uid="{4567D88F-A5B6-43C8-A856-2510DEFACA2A}"/>
  </bookViews>
  <sheets>
    <sheet name="Sheet3" sheetId="3" r:id="rId1"/>
    <sheet name="Sheet4" sheetId="4" r:id="rId2"/>
    <sheet name="Sheet5" sheetId="6" r:id="rId3"/>
    <sheet name="Sheet6" sheetId="7" r:id="rId4"/>
    <sheet name="Sheet1" sheetId="1" r:id="rId5"/>
  </sheets>
  <calcPr calcId="191029"/>
  <pivotCaches>
    <pivotCache cacheId="123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3" i="1" l="1"/>
  <c r="K32" i="1"/>
  <c r="K31" i="1"/>
  <c r="K30" i="1"/>
  <c r="K29" i="1"/>
  <c r="L31" i="1"/>
  <c r="L32" i="1"/>
  <c r="L33" i="1" s="1"/>
  <c r="L30" i="1"/>
  <c r="L29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3" i="1"/>
</calcChain>
</file>

<file path=xl/sharedStrings.xml><?xml version="1.0" encoding="utf-8"?>
<sst xmlns="http://schemas.openxmlformats.org/spreadsheetml/2006/main" count="219" uniqueCount="59">
  <si>
    <t>Order ID</t>
  </si>
  <si>
    <t>Customer ID</t>
  </si>
  <si>
    <t xml:space="preserve"> Gender </t>
  </si>
  <si>
    <t>Age</t>
  </si>
  <si>
    <t>Date of Order</t>
  </si>
  <si>
    <t>Month</t>
  </si>
  <si>
    <t xml:space="preserve"> Online Platform</t>
  </si>
  <si>
    <t>Category of product</t>
  </si>
  <si>
    <t>Quantity</t>
  </si>
  <si>
    <t>Shipping City</t>
  </si>
  <si>
    <t>M</t>
  </si>
  <si>
    <t>F</t>
  </si>
  <si>
    <t>Walmart</t>
  </si>
  <si>
    <t>Ebay</t>
  </si>
  <si>
    <t>Flipkart</t>
  </si>
  <si>
    <t>Amazon</t>
  </si>
  <si>
    <t>Clothes</t>
  </si>
  <si>
    <t>Electronics</t>
  </si>
  <si>
    <t>Books</t>
  </si>
  <si>
    <t>Music</t>
  </si>
  <si>
    <t>Movies</t>
  </si>
  <si>
    <t>Sport</t>
  </si>
  <si>
    <t>Toys</t>
  </si>
  <si>
    <t>Kitchenware</t>
  </si>
  <si>
    <t>Amount (Rs)</t>
  </si>
  <si>
    <t>Mumbai</t>
  </si>
  <si>
    <t>Gurugram</t>
  </si>
  <si>
    <t>Chennai</t>
  </si>
  <si>
    <t>Coimbatore</t>
  </si>
  <si>
    <t>Bengaluru</t>
  </si>
  <si>
    <t>Mysore</t>
  </si>
  <si>
    <t>Kochi</t>
  </si>
  <si>
    <t>Row Labels</t>
  </si>
  <si>
    <t>Grand Total</t>
  </si>
  <si>
    <t>Column Labels</t>
  </si>
  <si>
    <t>Sum of Amount (Rs)</t>
  </si>
  <si>
    <t>Sum of Age</t>
  </si>
  <si>
    <t>Sum of Quantity</t>
  </si>
  <si>
    <t>Sum</t>
  </si>
  <si>
    <t>Average</t>
  </si>
  <si>
    <t>Running Total</t>
  </si>
  <si>
    <t>Count</t>
  </si>
  <si>
    <t>Size of product (cm^2)</t>
  </si>
  <si>
    <t>2017</t>
  </si>
  <si>
    <t>2015</t>
  </si>
  <si>
    <t>2024</t>
  </si>
  <si>
    <t>2014</t>
  </si>
  <si>
    <t>2020</t>
  </si>
  <si>
    <t>2013</t>
  </si>
  <si>
    <t>2019</t>
  </si>
  <si>
    <t>2021</t>
  </si>
  <si>
    <t>2023</t>
  </si>
  <si>
    <t>2018</t>
  </si>
  <si>
    <t>2022</t>
  </si>
  <si>
    <t>Mean</t>
  </si>
  <si>
    <t>Median</t>
  </si>
  <si>
    <t>Mode</t>
  </si>
  <si>
    <t>Variance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</si>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</sst>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[Platform.xlsx]Sheet3!PivotTable3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Amazon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Sheet3!$A$5:$A$7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Sheet3!$B$5:$B$7</c:f>
              <c:numCache>
                <c:formatCode>General</c:formatCode>
                <c:ptCount val="2"/>
                <c:pt idx="0">
                  <c:v>31015</c:v>
                </c:pt>
                <c:pt idx="1">
                  <c:v>30941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0B-4A64-8C4B-2AABAF939D31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Ebay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Sheet3!$A$5:$A$7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Sheet3!$C$5:$C$7</c:f>
              <c:numCache>
                <c:formatCode>General</c:formatCode>
                <c:ptCount val="2"/>
                <c:pt idx="0">
                  <c:v>45879</c:v>
                </c:pt>
                <c:pt idx="1">
                  <c:v>137049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0B-4A64-8C4B-2AABAF939D31}"/>
            </c:ext>
          </c:extLst>
        </c:ser>
        <c:ser>
          <c:idx val="2"/>
          <c:order val="2"/>
          <c:tx>
            <c:strRef>
              <c:f>Sheet3!$D$3:$D$4</c:f>
              <c:strCache>
                <c:ptCount val="1"/>
                <c:pt idx="0">
                  <c:v>Flipkart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Sheet3!$A$5:$A$7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Sheet3!$D$5:$D$7</c:f>
              <c:numCache>
                <c:formatCode>General</c:formatCode>
                <c:ptCount val="2"/>
                <c:pt idx="0">
                  <c:v>180669</c:v>
                </c:pt>
                <c:pt idx="1">
                  <c:v>64345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0B-4A64-8C4B-2AABAF939D31}"/>
            </c:ext>
          </c:extLst>
        </c:ser>
        <c:ser>
          <c:idx val="3"/>
          <c:order val="3"/>
          <c:tx>
            <c:strRef>
              <c:f>Sheet3!$E$3:$E$4</c:f>
              <c:strCache>
                <c:ptCount val="1"/>
                <c:pt idx="0">
                  <c:v>Walmart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Sheet3!$A$5:$A$7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Sheet3!$E$5:$E$7</c:f>
              <c:numCache>
                <c:formatCode>General</c:formatCode>
                <c:ptCount val="2"/>
                <c:pt idx="0">
                  <c:v>20826</c:v>
                </c:pt>
                <c:pt idx="1">
                  <c:v>83188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D0B-4A64-8C4B-2AABAF939D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44689808"/>
        <c:axId val="644691056"/>
      </c:barChart>
      <c:catAx>
        <c:axId val="644689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691056"/>
        <c:crosses val="autoZero"/>
        <c:auto val="1"/>
        <c:lblAlgn val="ctr"/>
        <c:lblOffset val="100"/>
        <c:noMultiLvlLbl val="0"/>
      </c:catAx>
      <c:valAx>
        <c:axId val="644691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689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[Platform.xlsx]Sheet4!PivotTable7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Sheet4!$B$4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Sheet4!$A$5:$A$13</c:f>
              <c:strCache>
                <c:ptCount val="8"/>
                <c:pt idx="0">
                  <c:v>Books</c:v>
                </c:pt>
                <c:pt idx="1">
                  <c:v>Clothes</c:v>
                </c:pt>
                <c:pt idx="2">
                  <c:v>Electronics</c:v>
                </c:pt>
                <c:pt idx="3">
                  <c:v>Kitchenware</c:v>
                </c:pt>
                <c:pt idx="4">
                  <c:v>Movies</c:v>
                </c:pt>
                <c:pt idx="5">
                  <c:v>Music</c:v>
                </c:pt>
                <c:pt idx="6">
                  <c:v>Sport</c:v>
                </c:pt>
                <c:pt idx="7">
                  <c:v>Toys</c:v>
                </c:pt>
              </c:strCache>
            </c:strRef>
          </c:cat>
          <c:val>
            <c:numRef>
              <c:f>Sheet4!$B$5:$B$13</c:f>
              <c:numCache>
                <c:formatCode>General</c:formatCode>
                <c:ptCount val="8"/>
                <c:pt idx="0">
                  <c:v>1</c:v>
                </c:pt>
                <c:pt idx="1">
                  <c:v>23</c:v>
                </c:pt>
                <c:pt idx="2">
                  <c:v>20</c:v>
                </c:pt>
                <c:pt idx="3">
                  <c:v>25</c:v>
                </c:pt>
                <c:pt idx="4">
                  <c:v>21</c:v>
                </c:pt>
                <c:pt idx="5">
                  <c:v>4</c:v>
                </c:pt>
                <c:pt idx="6">
                  <c:v>19</c:v>
                </c:pt>
                <c:pt idx="7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D4B-418F-84E9-E73570B6987E}"/>
            </c:ext>
          </c:extLst>
        </c:ser>
        <c:ser>
          <c:idx val="1"/>
          <c:order val="1"/>
          <c:tx>
            <c:strRef>
              <c:f>Sheet4!$C$4</c:f>
              <c:strCache>
                <c:ptCount val="1"/>
                <c:pt idx="0">
                  <c:v>Sum of 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Sheet4!$A$5:$A$13</c:f>
              <c:strCache>
                <c:ptCount val="8"/>
                <c:pt idx="0">
                  <c:v>Books</c:v>
                </c:pt>
                <c:pt idx="1">
                  <c:v>Clothes</c:v>
                </c:pt>
                <c:pt idx="2">
                  <c:v>Electronics</c:v>
                </c:pt>
                <c:pt idx="3">
                  <c:v>Kitchenware</c:v>
                </c:pt>
                <c:pt idx="4">
                  <c:v>Movies</c:v>
                </c:pt>
                <c:pt idx="5">
                  <c:v>Music</c:v>
                </c:pt>
                <c:pt idx="6">
                  <c:v>Sport</c:v>
                </c:pt>
                <c:pt idx="7">
                  <c:v>Toys</c:v>
                </c:pt>
              </c:strCache>
            </c:strRef>
          </c:cat>
          <c:val>
            <c:numRef>
              <c:f>Sheet4!$C$5:$C$13</c:f>
              <c:numCache>
                <c:formatCode>General</c:formatCode>
                <c:ptCount val="8"/>
                <c:pt idx="0">
                  <c:v>37</c:v>
                </c:pt>
                <c:pt idx="1">
                  <c:v>174</c:v>
                </c:pt>
                <c:pt idx="2">
                  <c:v>236</c:v>
                </c:pt>
                <c:pt idx="3">
                  <c:v>99</c:v>
                </c:pt>
                <c:pt idx="4">
                  <c:v>192</c:v>
                </c:pt>
                <c:pt idx="5">
                  <c:v>64</c:v>
                </c:pt>
                <c:pt idx="6">
                  <c:v>116</c:v>
                </c:pt>
                <c:pt idx="7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D4B-418F-84E9-E73570B698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1511904"/>
        <c:axId val="411513984"/>
      </c:barChart>
      <c:catAx>
        <c:axId val="411511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513984"/>
        <c:crosses val="autoZero"/>
        <c:auto val="1"/>
        <c:lblAlgn val="ctr"/>
        <c:lblOffset val="100"/>
        <c:noMultiLvlLbl val="0"/>
      </c:catAx>
      <c:valAx>
        <c:axId val="411513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511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[Platform.xlsx]Sheet5!PivotTable86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Sheet5!$A$2:$A$10</c:f>
              <c:strCache>
                <c:ptCount val="8"/>
                <c:pt idx="0">
                  <c:v>Books</c:v>
                </c:pt>
                <c:pt idx="1">
                  <c:v>Clothes</c:v>
                </c:pt>
                <c:pt idx="2">
                  <c:v>Electronics</c:v>
                </c:pt>
                <c:pt idx="3">
                  <c:v>Kitchenware</c:v>
                </c:pt>
                <c:pt idx="4">
                  <c:v>Movies</c:v>
                </c:pt>
                <c:pt idx="5">
                  <c:v>Music</c:v>
                </c:pt>
                <c:pt idx="6">
                  <c:v>Sport</c:v>
                </c:pt>
                <c:pt idx="7">
                  <c:v>Toys</c:v>
                </c:pt>
              </c:strCache>
            </c:strRef>
          </c:cat>
          <c:val>
            <c:numRef>
              <c:f>Sheet5!$B$2:$B$10</c:f>
              <c:numCache>
                <c:formatCode>General</c:formatCode>
                <c:ptCount val="8"/>
                <c:pt idx="0">
                  <c:v>1</c:v>
                </c:pt>
                <c:pt idx="1">
                  <c:v>23</c:v>
                </c:pt>
                <c:pt idx="2">
                  <c:v>20</c:v>
                </c:pt>
                <c:pt idx="3">
                  <c:v>25</c:v>
                </c:pt>
                <c:pt idx="4">
                  <c:v>21</c:v>
                </c:pt>
                <c:pt idx="5">
                  <c:v>4</c:v>
                </c:pt>
                <c:pt idx="6">
                  <c:v>19</c:v>
                </c:pt>
                <c:pt idx="7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CF0-4B9D-8B44-F1B8F1DCD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5737759"/>
        <c:axId val="1645723615"/>
      </c:barChart>
      <c:catAx>
        <c:axId val="1645737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723615"/>
        <c:crosses val="autoZero"/>
        <c:auto val="1"/>
        <c:lblAlgn val="ctr"/>
        <c:lblOffset val="100"/>
        <c:noMultiLvlLbl val="0"/>
      </c:catAx>
      <c:valAx>
        <c:axId val="1645723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737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[Platform.xlsx]Sheet6!PivotTable87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Sheet6!$A$4:$A$15</c:f>
              <c:strCache>
                <c:ptCount val="11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Sheet6!$B$4:$B$15</c:f>
              <c:numCache>
                <c:formatCode>General</c:formatCode>
                <c:ptCount val="11"/>
                <c:pt idx="0">
                  <c:v>199</c:v>
                </c:pt>
                <c:pt idx="1">
                  <c:v>56</c:v>
                </c:pt>
                <c:pt idx="2">
                  <c:v>41</c:v>
                </c:pt>
                <c:pt idx="3">
                  <c:v>185</c:v>
                </c:pt>
                <c:pt idx="4">
                  <c:v>86</c:v>
                </c:pt>
                <c:pt idx="5">
                  <c:v>125</c:v>
                </c:pt>
                <c:pt idx="6">
                  <c:v>98</c:v>
                </c:pt>
                <c:pt idx="7">
                  <c:v>25</c:v>
                </c:pt>
                <c:pt idx="8">
                  <c:v>22</c:v>
                </c:pt>
                <c:pt idx="9">
                  <c:v>107</c:v>
                </c:pt>
                <c:pt idx="10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DBD-438C-9E1E-DAB22AC8BF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104775</xdr:colOff>
      <xdr:row>11</xdr:row>
      <xdr:rowOff>128587</xdr:rowOff>
    </xdr:from>
    <xdr:to>
      <xdr:col>13</xdr:col>
      <xdr:colOff>200025</xdr:colOff>
      <xdr:row>27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644934-34BD-4AD5-834C-3FD7390EB4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447675</xdr:colOff>
      <xdr:row>11</xdr:row>
      <xdr:rowOff>128587</xdr:rowOff>
    </xdr:from>
    <xdr:to>
      <xdr:col>14</xdr:col>
      <xdr:colOff>352425</xdr:colOff>
      <xdr:row>26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64445D-51E4-41F3-A6C4-117AE1181D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0A9C09-3D2F-45D9-A253-4E53892733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304800</xdr:colOff>
      <xdr:row>11</xdr:row>
      <xdr:rowOff>128587</xdr:rowOff>
    </xdr:from>
    <xdr:to>
      <xdr:col>15</xdr:col>
      <xdr:colOff>0</xdr:colOff>
      <xdr:row>26</xdr:row>
      <xdr:rowOff>14287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782FED8-B0DF-49F7-94A3-DAD4CD61B3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972.429014120367" createdVersion="7" refreshedVersion="7" minRefreshableVersion="3" recordCount="25" xr:uid="{1D225EB7-2808-4FBF-8CEC-AE3B734FC0F1}">
  <cacheSource type="worksheet">
    <worksheetSource ref="B2:M27" sheet="Sheet1"/>
  </cacheSource>
  <cacheFields count="14">
    <cacheField name="Order ID" numFmtId="0">
      <sharedItems containsSemiMixedTypes="0" containsString="0" containsNumber="1" containsInteger="1" minValue="101" maxValue="125" count="25"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</sharedItems>
    </cacheField>
    <cacheField name="Customer ID" numFmtId="0">
      <sharedItems containsSemiMixedTypes="0" containsString="0" containsNumber="1" containsInteger="1" minValue="1539" maxValue="9833" count="25">
        <n v="2854"/>
        <n v="6255"/>
        <n v="7187"/>
        <n v="6378"/>
        <n v="7784"/>
        <n v="7404"/>
        <n v="8888"/>
        <n v="7395"/>
        <n v="5950"/>
        <n v="7092"/>
        <n v="2613"/>
        <n v="1539"/>
        <n v="2643"/>
        <n v="9833"/>
        <n v="6307"/>
        <n v="5704"/>
        <n v="7744"/>
        <n v="2296"/>
        <n v="4822"/>
        <n v="6834"/>
        <n v="8970"/>
        <n v="2720"/>
        <n v="6592"/>
        <n v="5505"/>
        <n v="9584"/>
      </sharedItems>
    </cacheField>
    <cacheField name=" Gender " numFmtId="0">
      <sharedItems count="2">
        <s v="M"/>
        <s v="F"/>
      </sharedItems>
    </cacheField>
    <cacheField name="Age" numFmtId="0">
      <sharedItems containsSemiMixedTypes="0" containsString="0" containsNumber="1" containsInteger="1" minValue="18" maxValue="65" count="23">
        <n v="25"/>
        <n v="57"/>
        <n v="34"/>
        <n v="30"/>
        <n v="22"/>
        <n v="28"/>
        <n v="38"/>
        <n v="55"/>
        <n v="48"/>
        <n v="26"/>
        <n v="37"/>
        <n v="18"/>
        <n v="61"/>
        <n v="53"/>
        <n v="39"/>
        <n v="33"/>
        <n v="64"/>
        <n v="49"/>
        <n v="65"/>
        <n v="59"/>
        <n v="62"/>
        <n v="23"/>
        <n v="20"/>
      </sharedItems>
    </cacheField>
    <cacheField name="Date of Order" numFmtId="14">
      <sharedItems containsSemiMixedTypes="0" containsNonDate="0" containsDate="1" containsString="0" minDate="2013-05-22T00:00:00" maxDate="2024-06-22T00:00:00" count="25">
        <d v="2013-09-02T00:00:00"/>
        <d v="2013-07-26T00:00:00"/>
        <d v="2017-09-27T00:00:00"/>
        <d v="2014-07-06T00:00:00"/>
        <d v="2022-12-20T00:00:00"/>
        <d v="2017-04-19T00:00:00"/>
        <d v="2019-12-29T00:00:00"/>
        <d v="2013-08-03T00:00:00"/>
        <d v="2023-12-30T00:00:00"/>
        <d v="2014-08-23T00:00:00"/>
        <d v="2020-07-05T00:00:00"/>
        <d v="2015-07-24T00:00:00"/>
        <d v="2021-11-04T00:00:00"/>
        <d v="2020-05-04T00:00:00"/>
        <d v="2018-07-16T00:00:00"/>
        <d v="2017-10-26T00:00:00"/>
        <d v="2019-08-13T00:00:00"/>
        <d v="2018-07-30T00:00:00"/>
        <d v="2017-07-20T00:00:00"/>
        <d v="2019-08-25T00:00:00"/>
        <d v="2024-06-21T00:00:00"/>
        <d v="2023-03-27T00:00:00"/>
        <d v="2013-05-22T00:00:00"/>
        <d v="2015-06-02T00:00:00"/>
        <d v="2017-04-02T00:00:00"/>
      </sharedItems>
      <fieldGroup par="13" base="4">
        <rangePr groupBy="months" startDate="2013-05-22T00:00:00" endDate="2024-06-22T00:00:00"/>
        <groupItems count="14">
          <s v="&lt;22-05-201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2-06-2024"/>
        </groupItems>
      </fieldGroup>
    </cacheField>
    <cacheField name="Month" numFmtId="0">
      <sharedItems count="10">
        <s v="Sep"/>
        <s v="Jul"/>
        <s v="Dec"/>
        <s v="Apr"/>
        <s v="Aug"/>
        <s v="Nov"/>
        <s v="May"/>
        <s v="Oct"/>
        <s v="Jun"/>
        <s v="Mar"/>
      </sharedItems>
    </cacheField>
    <cacheField name=" Online Platform" numFmtId="0">
      <sharedItems count="4">
        <s v="Ebay"/>
        <s v="Flipkart"/>
        <s v="Amazon"/>
        <s v="Walmart"/>
      </sharedItems>
    </cacheField>
    <cacheField name="Category of product" numFmtId="0">
      <sharedItems count="8">
        <s v="Sport"/>
        <s v="Electronics"/>
        <s v="Movies"/>
        <s v="Kitchenware"/>
        <s v="Clothes"/>
        <s v="Books"/>
        <s v="Toys"/>
        <s v="Music"/>
      </sharedItems>
    </cacheField>
    <cacheField name="Size (cm^2)" numFmtId="0">
      <sharedItems containsSemiMixedTypes="0" containsString="0" containsNumber="1" containsInteger="1" minValue="11" maxValue="148" count="24">
        <n v="81"/>
        <n v="14"/>
        <n v="25"/>
        <n v="73"/>
        <n v="62"/>
        <n v="137"/>
        <n v="35"/>
        <n v="34"/>
        <n v="133"/>
        <n v="44"/>
        <n v="48"/>
        <n v="148"/>
        <n v="57"/>
        <n v="11"/>
        <n v="55"/>
        <n v="132"/>
        <n v="126"/>
        <n v="21"/>
        <n v="24"/>
        <n v="50"/>
        <n v="82"/>
        <n v="36"/>
        <n v="52"/>
        <n v="120"/>
      </sharedItems>
    </cacheField>
    <cacheField name="Quantity" numFmtId="0">
      <sharedItems containsSemiMixedTypes="0" containsString="0" containsNumber="1" containsInteger="1" minValue="1" maxValue="10" count="9">
        <n v="7"/>
        <n v="2"/>
        <n v="1"/>
        <n v="4"/>
        <n v="5"/>
        <n v="3"/>
        <n v="10"/>
        <n v="9"/>
        <n v="8"/>
      </sharedItems>
    </cacheField>
    <cacheField name="Amount (Rs)" numFmtId="0">
      <sharedItems containsSemiMixedTypes="0" containsString="0" containsNumber="1" containsInteger="1" minValue="1765" maxValue="47617" count="25">
        <n v="41165"/>
        <n v="12741"/>
        <n v="46700"/>
        <n v="31015"/>
        <n v="47617"/>
        <n v="16019"/>
        <n v="9242"/>
        <n v="35789"/>
        <n v="2890"/>
        <n v="38015"/>
        <n v="36432"/>
        <n v="9348"/>
        <n v="11478"/>
        <n v="45173"/>
        <n v="31620"/>
        <n v="6064"/>
        <n v="7955"/>
        <n v="19733"/>
        <n v="3326"/>
        <n v="11208"/>
        <n v="36489"/>
        <n v="34370"/>
        <n v="19984"/>
        <n v="37774"/>
        <n v="1765"/>
      </sharedItems>
    </cacheField>
    <cacheField name="Shipping City" numFmtId="0">
      <sharedItems count="7">
        <s v="Coimbatore"/>
        <s v="Gurugram"/>
        <s v="Chennai"/>
        <s v="Mumbai"/>
        <s v="Mysore"/>
        <s v="Kochi"/>
        <s v="Bengaluru"/>
      </sharedItems>
    </cacheField>
    <cacheField name="Quarters" numFmtId="0" databaseField="0">
      <fieldGroup base="4">
        <rangePr groupBy="quarters" startDate="2013-05-22T00:00:00" endDate="2024-06-22T00:00:00"/>
        <groupItems count="6">
          <s v="&lt;22-05-2013"/>
          <s v="Qtr1"/>
          <s v="Qtr2"/>
          <s v="Qtr3"/>
          <s v="Qtr4"/>
          <s v="&gt;22-06-2024"/>
        </groupItems>
      </fieldGroup>
    </cacheField>
    <cacheField name="Years" numFmtId="0" databaseField="0">
      <fieldGroup base="4">
        <rangePr groupBy="years" startDate="2013-05-22T00:00:00" endDate="2024-06-22T00:00:00"/>
        <groupItems count="14">
          <s v="&lt;22-05-2013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&gt;22-06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x v="0"/>
    <x v="0"/>
    <x v="0"/>
    <x v="0"/>
    <x v="0"/>
    <x v="0"/>
    <x v="0"/>
    <x v="0"/>
    <x v="0"/>
    <x v="0"/>
    <x v="0"/>
    <x v="0"/>
  </r>
  <r>
    <x v="1"/>
    <x v="1"/>
    <x v="0"/>
    <x v="1"/>
    <x v="1"/>
    <x v="1"/>
    <x v="1"/>
    <x v="1"/>
    <x v="1"/>
    <x v="1"/>
    <x v="1"/>
    <x v="1"/>
  </r>
  <r>
    <x v="2"/>
    <x v="2"/>
    <x v="1"/>
    <x v="2"/>
    <x v="2"/>
    <x v="0"/>
    <x v="1"/>
    <x v="2"/>
    <x v="2"/>
    <x v="2"/>
    <x v="2"/>
    <x v="2"/>
  </r>
  <r>
    <x v="3"/>
    <x v="3"/>
    <x v="1"/>
    <x v="3"/>
    <x v="3"/>
    <x v="1"/>
    <x v="2"/>
    <x v="1"/>
    <x v="3"/>
    <x v="3"/>
    <x v="3"/>
    <x v="1"/>
  </r>
  <r>
    <x v="4"/>
    <x v="4"/>
    <x v="0"/>
    <x v="4"/>
    <x v="4"/>
    <x v="2"/>
    <x v="0"/>
    <x v="3"/>
    <x v="4"/>
    <x v="4"/>
    <x v="4"/>
    <x v="3"/>
  </r>
  <r>
    <x v="5"/>
    <x v="5"/>
    <x v="1"/>
    <x v="5"/>
    <x v="5"/>
    <x v="3"/>
    <x v="1"/>
    <x v="4"/>
    <x v="3"/>
    <x v="5"/>
    <x v="5"/>
    <x v="0"/>
  </r>
  <r>
    <x v="6"/>
    <x v="6"/>
    <x v="0"/>
    <x v="6"/>
    <x v="6"/>
    <x v="2"/>
    <x v="0"/>
    <x v="3"/>
    <x v="5"/>
    <x v="6"/>
    <x v="6"/>
    <x v="1"/>
  </r>
  <r>
    <x v="7"/>
    <x v="7"/>
    <x v="1"/>
    <x v="7"/>
    <x v="7"/>
    <x v="4"/>
    <x v="1"/>
    <x v="1"/>
    <x v="6"/>
    <x v="1"/>
    <x v="7"/>
    <x v="0"/>
  </r>
  <r>
    <x v="8"/>
    <x v="8"/>
    <x v="0"/>
    <x v="8"/>
    <x v="8"/>
    <x v="2"/>
    <x v="0"/>
    <x v="2"/>
    <x v="7"/>
    <x v="2"/>
    <x v="8"/>
    <x v="3"/>
  </r>
  <r>
    <x v="9"/>
    <x v="9"/>
    <x v="0"/>
    <x v="9"/>
    <x v="9"/>
    <x v="4"/>
    <x v="3"/>
    <x v="0"/>
    <x v="8"/>
    <x v="6"/>
    <x v="9"/>
    <x v="4"/>
  </r>
  <r>
    <x v="10"/>
    <x v="10"/>
    <x v="1"/>
    <x v="10"/>
    <x v="10"/>
    <x v="1"/>
    <x v="1"/>
    <x v="5"/>
    <x v="9"/>
    <x v="2"/>
    <x v="10"/>
    <x v="5"/>
  </r>
  <r>
    <x v="11"/>
    <x v="11"/>
    <x v="1"/>
    <x v="11"/>
    <x v="11"/>
    <x v="1"/>
    <x v="3"/>
    <x v="6"/>
    <x v="10"/>
    <x v="2"/>
    <x v="11"/>
    <x v="0"/>
  </r>
  <r>
    <x v="12"/>
    <x v="12"/>
    <x v="1"/>
    <x v="0"/>
    <x v="12"/>
    <x v="5"/>
    <x v="3"/>
    <x v="2"/>
    <x v="11"/>
    <x v="3"/>
    <x v="12"/>
    <x v="3"/>
  </r>
  <r>
    <x v="13"/>
    <x v="13"/>
    <x v="0"/>
    <x v="12"/>
    <x v="13"/>
    <x v="6"/>
    <x v="3"/>
    <x v="1"/>
    <x v="12"/>
    <x v="0"/>
    <x v="13"/>
    <x v="0"/>
  </r>
  <r>
    <x v="14"/>
    <x v="14"/>
    <x v="0"/>
    <x v="13"/>
    <x v="14"/>
    <x v="1"/>
    <x v="1"/>
    <x v="6"/>
    <x v="13"/>
    <x v="7"/>
    <x v="14"/>
    <x v="1"/>
  </r>
  <r>
    <x v="15"/>
    <x v="15"/>
    <x v="1"/>
    <x v="14"/>
    <x v="15"/>
    <x v="7"/>
    <x v="0"/>
    <x v="3"/>
    <x v="14"/>
    <x v="6"/>
    <x v="15"/>
    <x v="0"/>
  </r>
  <r>
    <x v="16"/>
    <x v="16"/>
    <x v="1"/>
    <x v="6"/>
    <x v="16"/>
    <x v="4"/>
    <x v="1"/>
    <x v="4"/>
    <x v="15"/>
    <x v="0"/>
    <x v="16"/>
    <x v="0"/>
  </r>
  <r>
    <x v="17"/>
    <x v="17"/>
    <x v="0"/>
    <x v="15"/>
    <x v="17"/>
    <x v="1"/>
    <x v="2"/>
    <x v="1"/>
    <x v="16"/>
    <x v="4"/>
    <x v="17"/>
    <x v="5"/>
  </r>
  <r>
    <x v="18"/>
    <x v="18"/>
    <x v="1"/>
    <x v="16"/>
    <x v="18"/>
    <x v="1"/>
    <x v="0"/>
    <x v="7"/>
    <x v="17"/>
    <x v="3"/>
    <x v="18"/>
    <x v="1"/>
  </r>
  <r>
    <x v="19"/>
    <x v="19"/>
    <x v="0"/>
    <x v="17"/>
    <x v="19"/>
    <x v="4"/>
    <x v="2"/>
    <x v="4"/>
    <x v="18"/>
    <x v="8"/>
    <x v="19"/>
    <x v="0"/>
  </r>
  <r>
    <x v="20"/>
    <x v="20"/>
    <x v="1"/>
    <x v="18"/>
    <x v="20"/>
    <x v="8"/>
    <x v="0"/>
    <x v="0"/>
    <x v="19"/>
    <x v="1"/>
    <x v="20"/>
    <x v="2"/>
  </r>
  <r>
    <x v="21"/>
    <x v="21"/>
    <x v="0"/>
    <x v="19"/>
    <x v="21"/>
    <x v="9"/>
    <x v="0"/>
    <x v="4"/>
    <x v="20"/>
    <x v="4"/>
    <x v="21"/>
    <x v="6"/>
  </r>
  <r>
    <x v="22"/>
    <x v="22"/>
    <x v="0"/>
    <x v="20"/>
    <x v="22"/>
    <x v="6"/>
    <x v="1"/>
    <x v="2"/>
    <x v="21"/>
    <x v="0"/>
    <x v="22"/>
    <x v="1"/>
  </r>
  <r>
    <x v="23"/>
    <x v="23"/>
    <x v="1"/>
    <x v="21"/>
    <x v="23"/>
    <x v="8"/>
    <x v="1"/>
    <x v="2"/>
    <x v="22"/>
    <x v="8"/>
    <x v="23"/>
    <x v="1"/>
  </r>
  <r>
    <x v="24"/>
    <x v="24"/>
    <x v="0"/>
    <x v="22"/>
    <x v="24"/>
    <x v="3"/>
    <x v="0"/>
    <x v="6"/>
    <x v="23"/>
    <x v="2"/>
    <x v="24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5329F8-2485-4202-A931-BB56047B4CBE}" name="PivotTable3" cacheId="12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F7" firstHeaderRow="1" firstDataRow="2" firstDataCol="1"/>
  <pivotFields count="14">
    <pivotField showAll="0"/>
    <pivotField showAll="0"/>
    <pivotField axis="axisRow" showAll="0">
      <items count="3">
        <item sd="0" x="1"/>
        <item sd="0" x="0"/>
        <item t="default" sd="0"/>
      </items>
    </pivotField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Col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dataField="1"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4">
    <field x="2"/>
    <field x="13"/>
    <field x="12"/>
    <field x="4"/>
  </rowFields>
  <rowItems count="3">
    <i>
      <x/>
    </i>
    <i>
      <x v="1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Sum of Amount (Rs)" fld="10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ACB31D-117A-4539-B7D0-173CAB591F2C}" name="PivotTable7" cacheId="12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4:C13" firstHeaderRow="0" firstDataRow="1" firstDataCol="1"/>
  <pivotFields count="14">
    <pivotField showAll="0">
      <items count="26">
        <item sd="0" x="0"/>
        <item x="1"/>
        <item x="2"/>
        <item x="3"/>
        <item sd="0" x="4"/>
        <item x="5"/>
        <item sd="0" x="6"/>
        <item x="7"/>
        <item sd="0" x="8"/>
        <item sd="0" x="9"/>
        <item x="10"/>
        <item x="11"/>
        <item x="12"/>
        <item x="13"/>
        <item sd="0" x="14"/>
        <item x="15"/>
        <item x="16"/>
        <item sd="0" x="17"/>
        <item x="18"/>
        <item sd="0" x="19"/>
        <item x="20"/>
        <item x="21"/>
        <item x="22"/>
        <item x="23"/>
        <item sd="0" x="24"/>
        <item t="default"/>
      </items>
    </pivotField>
    <pivotField showAll="0">
      <items count="26">
        <item x="11"/>
        <item x="17"/>
        <item x="10"/>
        <item x="12"/>
        <item x="21"/>
        <item x="0"/>
        <item x="18"/>
        <item x="23"/>
        <item x="15"/>
        <item x="8"/>
        <item x="1"/>
        <item x="14"/>
        <item x="3"/>
        <item x="22"/>
        <item x="19"/>
        <item x="9"/>
        <item x="2"/>
        <item x="7"/>
        <item x="5"/>
        <item x="16"/>
        <item x="4"/>
        <item x="6"/>
        <item x="20"/>
        <item x="24"/>
        <item x="13"/>
        <item t="default"/>
      </items>
    </pivotField>
    <pivotField showAll="0">
      <items count="3">
        <item x="1"/>
        <item x="0"/>
        <item t="default"/>
      </items>
    </pivotField>
    <pivotField dataField="1" multipleItemSelectionAllowed="1" showAll="0">
      <items count="24">
        <item x="11"/>
        <item x="22"/>
        <item x="4"/>
        <item x="21"/>
        <item x="0"/>
        <item x="9"/>
        <item x="5"/>
        <item x="3"/>
        <item x="15"/>
        <item x="2"/>
        <item x="10"/>
        <item x="6"/>
        <item x="14"/>
        <item x="8"/>
        <item x="17"/>
        <item x="13"/>
        <item h="1" x="7"/>
        <item h="1" x="1"/>
        <item h="1" x="19"/>
        <item h="1" x="12"/>
        <item h="1" x="20"/>
        <item h="1" x="16"/>
        <item h="1" x="18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1">
        <item x="9"/>
        <item x="3"/>
        <item x="6"/>
        <item x="8"/>
        <item x="1"/>
        <item x="4"/>
        <item x="0"/>
        <item x="7"/>
        <item x="5"/>
        <item x="2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axis="axisRow" showAll="0">
      <items count="9">
        <item x="5"/>
        <item x="4"/>
        <item x="1"/>
        <item x="3"/>
        <item x="2"/>
        <item x="7"/>
        <item x="0"/>
        <item x="6"/>
        <item t="default"/>
      </items>
    </pivotField>
    <pivotField showAll="0">
      <items count="25">
        <item x="13"/>
        <item x="1"/>
        <item x="17"/>
        <item x="18"/>
        <item x="2"/>
        <item x="7"/>
        <item x="6"/>
        <item x="21"/>
        <item x="9"/>
        <item x="10"/>
        <item x="19"/>
        <item x="22"/>
        <item x="14"/>
        <item x="12"/>
        <item x="4"/>
        <item x="3"/>
        <item x="0"/>
        <item x="20"/>
        <item x="23"/>
        <item x="16"/>
        <item x="15"/>
        <item x="8"/>
        <item x="5"/>
        <item x="11"/>
        <item t="default"/>
      </items>
    </pivotField>
    <pivotField dataField="1" showAll="0"/>
    <pivotField showAll="0"/>
    <pivotField showAll="0">
      <items count="8">
        <item x="6"/>
        <item x="2"/>
        <item x="0"/>
        <item x="1"/>
        <item x="5"/>
        <item x="3"/>
        <item x="4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9" baseField="0" baseItem="0"/>
    <dataField name="Sum of Age" fld="3" baseField="0" baseItem="0"/>
  </dataFields>
  <chartFormats count="2">
    <chartFormat chart="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E1BA67-7F9E-4DED-9B80-E61D00795732}" name="PivotTable86" cacheId="12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1:B10" firstHeaderRow="1" firstDataRow="1" firstDataCol="1"/>
  <pivotFields count="14">
    <pivotField showAll="0"/>
    <pivotField showAll="0"/>
    <pivotField showAll="0">
      <items count="3">
        <item x="1"/>
        <item x="0"/>
        <item t="default"/>
      </items>
    </pivotField>
    <pivotField showAll="0"/>
    <pivotField numFmtId="14" showAll="0"/>
    <pivotField showAll="0"/>
    <pivotField showAll="0">
      <items count="5">
        <item x="2"/>
        <item x="0"/>
        <item x="1"/>
        <item x="3"/>
        <item t="default"/>
      </items>
    </pivotField>
    <pivotField axis="axisRow" showAll="0">
      <items count="9">
        <item x="5"/>
        <item x="4"/>
        <item x="1"/>
        <item x="3"/>
        <item x="2"/>
        <item x="7"/>
        <item x="0"/>
        <item x="6"/>
        <item t="default"/>
      </items>
    </pivotField>
    <pivotField showAll="0"/>
    <pivotField dataField="1" showAll="0"/>
    <pivotField showAll="0"/>
    <pivotField showAll="0"/>
    <pivotField showAll="0" defaultSubtotal="0"/>
    <pivotField showAll="0" defaultSubtotal="0"/>
  </pivotFields>
  <rowFields count="1">
    <field x="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Quantity" fld="9" baseField="0" baseItem="0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5C7EC2-801F-4E3E-9062-FBCC5EC87BF6}" name="PivotTable87" cacheId="12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A3:B15" firstHeaderRow="1" firstDataRow="1" firstDataCol="1"/>
  <pivotFields count="14">
    <pivotField showAll="0"/>
    <pivotField showAll="0"/>
    <pivotField showAll="0">
      <items count="3">
        <item x="1"/>
        <item x="0"/>
        <item t="default"/>
      </items>
    </pivotField>
    <pivotField dataField="1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1">
        <item x="9"/>
        <item x="3"/>
        <item x="6"/>
        <item x="8"/>
        <item x="1"/>
        <item x="4"/>
        <item x="0"/>
        <item x="7"/>
        <item x="5"/>
        <item x="2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>
      <items count="9">
        <item x="5"/>
        <item x="4"/>
        <item x="1"/>
        <item x="3"/>
        <item x="2"/>
        <item x="7"/>
        <item x="0"/>
        <item x="6"/>
        <item t="default"/>
      </items>
    </pivotField>
    <pivotField showAll="0"/>
    <pivotField showAll="0"/>
    <pivotField showAll="0"/>
    <pivotField showAll="0">
      <items count="8">
        <item x="6"/>
        <item x="2"/>
        <item x="0"/>
        <item x="1"/>
        <item x="5"/>
        <item x="3"/>
        <item x="4"/>
        <item t="default"/>
      </items>
    </pivotField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2">
    <field x="13"/>
    <field x="12"/>
  </rowFields>
  <rowItems count="12">
    <i>
      <x v="1"/>
    </i>
    <i>
      <x v="2"/>
    </i>
    <i>
      <x v="3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Age" fld="3" baseField="0" baseItem="0"/>
  </dataFields>
  <chartFormats count="1">
    <chartFormat chart="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80CE6-6361-4462-9560-C0B32E546586}">
  <dimension ref="A3:F7"/>
  <sheetViews>
    <sheetView workbookViewId="0">
      <selection activeCell="A14" sqref="A14"/>
    </sheetView>
  </sheetViews>
  <sheetFormatPr defaultRowHeight="15" x14ac:dyDescent="0.25"/>
  <cols>
    <col min="1" max="1" width="18.85546875" bestFit="1" customWidth="1"/>
    <col min="2" max="2" width="16.28515625" bestFit="1" customWidth="1"/>
    <col min="3" max="3" width="7" bestFit="1" customWidth="1"/>
    <col min="4" max="4" width="7.7109375" bestFit="1" customWidth="1"/>
    <col min="5" max="5" width="8.7109375" bestFit="1" customWidth="1"/>
    <col min="6" max="6" width="11.28515625" bestFit="1" customWidth="1"/>
  </cols>
  <sheetData>
    <row r="3" spans="1:6" x14ac:dyDescent="0.25">
      <c r="A3" s="4" t="s">
        <v>35</v>
      </c>
      <c r="B3" s="4" t="s">
        <v>34</v>
      </c>
    </row>
    <row r="4" spans="1:6" x14ac:dyDescent="0.25">
      <c r="A4" s="4" t="s">
        <v>32</v>
      </c>
      <c r="B4" t="s">
        <v>15</v>
      </c>
      <c r="C4" t="s">
        <v>13</v>
      </c>
      <c r="D4" t="s">
        <v>14</v>
      </c>
      <c r="E4" t="s">
        <v>12</v>
      </c>
      <c r="F4" t="s">
        <v>33</v>
      </c>
    </row>
    <row r="5" spans="1:6" x14ac:dyDescent="0.25">
      <c r="A5" s="5" t="s">
        <v>11</v>
      </c>
      <c r="B5" s="3">
        <v>31015</v>
      </c>
      <c r="C5" s="3">
        <v>45879</v>
      </c>
      <c r="D5" s="3">
        <v>180669</v>
      </c>
      <c r="E5" s="3">
        <v>20826</v>
      </c>
      <c r="F5" s="3">
        <v>278389</v>
      </c>
    </row>
    <row r="6" spans="1:6" x14ac:dyDescent="0.25">
      <c r="A6" s="5" t="s">
        <v>10</v>
      </c>
      <c r="B6" s="3">
        <v>30941</v>
      </c>
      <c r="C6" s="3">
        <v>137049</v>
      </c>
      <c r="D6" s="3">
        <v>64345</v>
      </c>
      <c r="E6" s="3">
        <v>83188</v>
      </c>
      <c r="F6" s="3">
        <v>315523</v>
      </c>
    </row>
    <row r="7" spans="1:6" x14ac:dyDescent="0.25">
      <c r="A7" s="5" t="s">
        <v>33</v>
      </c>
      <c r="B7" s="3">
        <v>61956</v>
      </c>
      <c r="C7" s="3">
        <v>182928</v>
      </c>
      <c r="D7" s="3">
        <v>245014</v>
      </c>
      <c r="E7" s="3">
        <v>104014</v>
      </c>
      <c r="F7" s="3">
        <v>593912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D267F-69F4-41C0-804C-CE1F9A676387}">
  <dimension ref="A4:C13"/>
  <sheetViews>
    <sheetView workbookViewId="0">
      <selection activeCell="P9" sqref="P9:Q10"/>
    </sheetView>
  </sheetViews>
  <sheetFormatPr defaultRowHeight="15" x14ac:dyDescent="0.25"/>
  <cols>
    <col min="1" max="1" width="13.140625" bestFit="1" customWidth="1"/>
    <col min="2" max="2" width="15.42578125" bestFit="1" customWidth="1"/>
    <col min="3" max="3" width="11" bestFit="1" customWidth="1"/>
    <col min="4" max="4" width="15.42578125" bestFit="1" customWidth="1"/>
    <col min="5" max="5" width="6" bestFit="1" customWidth="1"/>
    <col min="6" max="6" width="8.42578125" bestFit="1" customWidth="1"/>
    <col min="7" max="7" width="7.7109375" bestFit="1" customWidth="1"/>
    <col min="8" max="8" width="11.28515625" bestFit="1" customWidth="1"/>
    <col min="9" max="9" width="6" bestFit="1" customWidth="1"/>
    <col min="10" max="10" width="5" bestFit="1" customWidth="1"/>
    <col min="11" max="11" width="11.28515625" bestFit="1" customWidth="1"/>
    <col min="12" max="12" width="10.28515625" bestFit="1" customWidth="1"/>
    <col min="13" max="13" width="5" bestFit="1" customWidth="1"/>
    <col min="14" max="14" width="13.42578125" bestFit="1" customWidth="1"/>
    <col min="15" max="15" width="9.5703125" bestFit="1" customWidth="1"/>
    <col min="16" max="16" width="12.5703125" bestFit="1" customWidth="1"/>
    <col min="17" max="17" width="11.28515625" bestFit="1" customWidth="1"/>
    <col min="18" max="25" width="16.28515625" bestFit="1" customWidth="1"/>
    <col min="26" max="26" width="11.28515625" bestFit="1" customWidth="1"/>
  </cols>
  <sheetData>
    <row r="4" spans="1:3" x14ac:dyDescent="0.25">
      <c r="A4" s="4" t="s">
        <v>32</v>
      </c>
      <c r="B4" t="s">
        <v>37</v>
      </c>
      <c r="C4" t="s">
        <v>36</v>
      </c>
    </row>
    <row r="5" spans="1:3" x14ac:dyDescent="0.25">
      <c r="A5" s="5" t="s">
        <v>18</v>
      </c>
      <c r="B5" s="3">
        <v>1</v>
      </c>
      <c r="C5" s="3">
        <v>37</v>
      </c>
    </row>
    <row r="6" spans="1:3" x14ac:dyDescent="0.25">
      <c r="A6" s="5" t="s">
        <v>16</v>
      </c>
      <c r="B6" s="3">
        <v>23</v>
      </c>
      <c r="C6" s="3">
        <v>174</v>
      </c>
    </row>
    <row r="7" spans="1:3" x14ac:dyDescent="0.25">
      <c r="A7" s="5" t="s">
        <v>17</v>
      </c>
      <c r="B7" s="3">
        <v>20</v>
      </c>
      <c r="C7" s="3">
        <v>236</v>
      </c>
    </row>
    <row r="8" spans="1:3" x14ac:dyDescent="0.25">
      <c r="A8" s="5" t="s">
        <v>23</v>
      </c>
      <c r="B8" s="3">
        <v>25</v>
      </c>
      <c r="C8" s="3">
        <v>99</v>
      </c>
    </row>
    <row r="9" spans="1:3" x14ac:dyDescent="0.25">
      <c r="A9" s="5" t="s">
        <v>20</v>
      </c>
      <c r="B9" s="3">
        <v>21</v>
      </c>
      <c r="C9" s="3">
        <v>192</v>
      </c>
    </row>
    <row r="10" spans="1:3" x14ac:dyDescent="0.25">
      <c r="A10" s="5" t="s">
        <v>19</v>
      </c>
      <c r="B10" s="3">
        <v>4</v>
      </c>
      <c r="C10" s="3">
        <v>64</v>
      </c>
    </row>
    <row r="11" spans="1:3" x14ac:dyDescent="0.25">
      <c r="A11" s="5" t="s">
        <v>21</v>
      </c>
      <c r="B11" s="3">
        <v>19</v>
      </c>
      <c r="C11" s="3">
        <v>116</v>
      </c>
    </row>
    <row r="12" spans="1:3" x14ac:dyDescent="0.25">
      <c r="A12" s="5" t="s">
        <v>22</v>
      </c>
      <c r="B12" s="3">
        <v>11</v>
      </c>
      <c r="C12" s="3">
        <v>91</v>
      </c>
    </row>
    <row r="13" spans="1:3" x14ac:dyDescent="0.25">
      <c r="A13" s="5" t="s">
        <v>33</v>
      </c>
      <c r="B13" s="3">
        <v>124</v>
      </c>
      <c r="C13" s="3">
        <v>1009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09EFC-5B6C-41A7-92FF-05137BFCA484}">
  <dimension ref="A1:B10"/>
  <sheetViews>
    <sheetView tabSelected="1" workbookViewId="0"/>
  </sheetViews>
  <sheetFormatPr defaultRowHeight="15" x14ac:dyDescent="0.25"/>
  <cols>
    <col min="1" max="1" width="13.140625" bestFit="1" customWidth="1"/>
    <col min="2" max="2" width="15.42578125" bestFit="1" customWidth="1"/>
  </cols>
  <sheetData>
    <row r="1" spans="1:2" x14ac:dyDescent="0.25">
      <c r="A1" s="4" t="s">
        <v>32</v>
      </c>
      <c r="B1" t="s">
        <v>37</v>
      </c>
    </row>
    <row r="2" spans="1:2" x14ac:dyDescent="0.25">
      <c r="A2" s="5" t="s">
        <v>18</v>
      </c>
      <c r="B2" s="3">
        <v>1</v>
      </c>
    </row>
    <row r="3" spans="1:2" x14ac:dyDescent="0.25">
      <c r="A3" s="5" t="s">
        <v>16</v>
      </c>
      <c r="B3" s="3">
        <v>23</v>
      </c>
    </row>
    <row r="4" spans="1:2" x14ac:dyDescent="0.25">
      <c r="A4" s="5" t="s">
        <v>17</v>
      </c>
      <c r="B4" s="3">
        <v>20</v>
      </c>
    </row>
    <row r="5" spans="1:2" x14ac:dyDescent="0.25">
      <c r="A5" s="5" t="s">
        <v>23</v>
      </c>
      <c r="B5" s="3">
        <v>25</v>
      </c>
    </row>
    <row r="6" spans="1:2" x14ac:dyDescent="0.25">
      <c r="A6" s="5" t="s">
        <v>20</v>
      </c>
      <c r="B6" s="3">
        <v>21</v>
      </c>
    </row>
    <row r="7" spans="1:2" x14ac:dyDescent="0.25">
      <c r="A7" s="5" t="s">
        <v>19</v>
      </c>
      <c r="B7" s="3">
        <v>4</v>
      </c>
    </row>
    <row r="8" spans="1:2" x14ac:dyDescent="0.25">
      <c r="A8" s="5" t="s">
        <v>21</v>
      </c>
      <c r="B8" s="3">
        <v>19</v>
      </c>
    </row>
    <row r="9" spans="1:2" x14ac:dyDescent="0.25">
      <c r="A9" s="5" t="s">
        <v>22</v>
      </c>
      <c r="B9" s="3">
        <v>11</v>
      </c>
    </row>
    <row r="10" spans="1:2" x14ac:dyDescent="0.25">
      <c r="A10" s="5" t="s">
        <v>33</v>
      </c>
      <c r="B10" s="3">
        <v>124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56E11-3F66-4B0A-A83B-B7299C24AEA7}">
  <dimension ref="A3:B15"/>
  <sheetViews>
    <sheetView workbookViewId="0">
      <selection activeCell="F38" sqref="F38"/>
    </sheetView>
  </sheetViews>
  <sheetFormatPr defaultRowHeight="15" x14ac:dyDescent="0.25"/>
  <cols>
    <col min="1" max="1" width="13.140625" bestFit="1" customWidth="1"/>
    <col min="2" max="2" width="11" bestFit="1" customWidth="1"/>
  </cols>
  <sheetData>
    <row r="3" spans="1:2" x14ac:dyDescent="0.25">
      <c r="A3" s="4" t="s">
        <v>32</v>
      </c>
      <c r="B3" t="s">
        <v>36</v>
      </c>
    </row>
    <row r="4" spans="1:2" x14ac:dyDescent="0.25">
      <c r="A4" s="5" t="s">
        <v>48</v>
      </c>
      <c r="B4" s="3">
        <v>199</v>
      </c>
    </row>
    <row r="5" spans="1:2" x14ac:dyDescent="0.25">
      <c r="A5" s="5" t="s">
        <v>46</v>
      </c>
      <c r="B5" s="3">
        <v>56</v>
      </c>
    </row>
    <row r="6" spans="1:2" x14ac:dyDescent="0.25">
      <c r="A6" s="5" t="s">
        <v>44</v>
      </c>
      <c r="B6" s="3">
        <v>41</v>
      </c>
    </row>
    <row r="7" spans="1:2" x14ac:dyDescent="0.25">
      <c r="A7" s="5" t="s">
        <v>43</v>
      </c>
      <c r="B7" s="3">
        <v>185</v>
      </c>
    </row>
    <row r="8" spans="1:2" x14ac:dyDescent="0.25">
      <c r="A8" s="5" t="s">
        <v>52</v>
      </c>
      <c r="B8" s="3">
        <v>86</v>
      </c>
    </row>
    <row r="9" spans="1:2" x14ac:dyDescent="0.25">
      <c r="A9" s="5" t="s">
        <v>49</v>
      </c>
      <c r="B9" s="3">
        <v>125</v>
      </c>
    </row>
    <row r="10" spans="1:2" x14ac:dyDescent="0.25">
      <c r="A10" s="5" t="s">
        <v>47</v>
      </c>
      <c r="B10" s="3">
        <v>98</v>
      </c>
    </row>
    <row r="11" spans="1:2" x14ac:dyDescent="0.25">
      <c r="A11" s="5" t="s">
        <v>50</v>
      </c>
      <c r="B11" s="3">
        <v>25</v>
      </c>
    </row>
    <row r="12" spans="1:2" x14ac:dyDescent="0.25">
      <c r="A12" s="5" t="s">
        <v>53</v>
      </c>
      <c r="B12" s="3">
        <v>22</v>
      </c>
    </row>
    <row r="13" spans="1:2" x14ac:dyDescent="0.25">
      <c r="A13" s="5" t="s">
        <v>51</v>
      </c>
      <c r="B13" s="3">
        <v>107</v>
      </c>
    </row>
    <row r="14" spans="1:2" x14ac:dyDescent="0.25">
      <c r="A14" s="5" t="s">
        <v>45</v>
      </c>
      <c r="B14" s="3">
        <v>65</v>
      </c>
    </row>
    <row r="15" spans="1:2" x14ac:dyDescent="0.25">
      <c r="A15" s="5" t="s">
        <v>33</v>
      </c>
      <c r="B15" s="3">
        <v>1009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7C3F1-8F7D-416C-9E0A-0C98EF4B559E}">
  <dimension ref="B2:M33"/>
  <sheetViews>
    <sheetView topLeftCell="B1" workbookViewId="0">
      <selection activeCell="E35" sqref="E35"/>
    </sheetView>
  </sheetViews>
  <sheetFormatPr defaultRowHeight="15" x14ac:dyDescent="0.25"/>
  <cols>
    <col min="1" max="12" width="21.85546875" customWidth="1"/>
    <col min="13" max="13" width="16.28515625" customWidth="1"/>
  </cols>
  <sheetData>
    <row r="2" spans="2:13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42</v>
      </c>
      <c r="K2" s="1" t="s">
        <v>8</v>
      </c>
      <c r="L2" s="1" t="s">
        <v>24</v>
      </c>
      <c r="M2" s="1" t="s">
        <v>9</v>
      </c>
    </row>
    <row r="3" spans="2:13" x14ac:dyDescent="0.25">
      <c r="B3">
        <v>101</v>
      </c>
      <c r="C3">
        <v>2854</v>
      </c>
      <c r="D3" t="s">
        <v>10</v>
      </c>
      <c r="E3">
        <v>25</v>
      </c>
      <c r="F3" s="2">
        <v>41519</v>
      </c>
      <c r="G3" t="str">
        <f>TEXT(F3,"mmm")</f>
        <v>Sep</v>
      </c>
      <c r="H3" t="s">
        <v>13</v>
      </c>
      <c r="I3" t="s">
        <v>21</v>
      </c>
      <c r="J3">
        <v>81</v>
      </c>
      <c r="K3">
        <v>7</v>
      </c>
      <c r="L3">
        <v>420</v>
      </c>
      <c r="M3" t="s">
        <v>28</v>
      </c>
    </row>
    <row r="4" spans="2:13" x14ac:dyDescent="0.25">
      <c r="B4">
        <v>102</v>
      </c>
      <c r="C4">
        <v>6255</v>
      </c>
      <c r="D4" t="s">
        <v>10</v>
      </c>
      <c r="E4">
        <v>57</v>
      </c>
      <c r="F4" s="2">
        <v>41481</v>
      </c>
      <c r="G4" t="str">
        <f t="shared" ref="G4:G27" si="0">TEXT(F4,"mmm")</f>
        <v>Jul</v>
      </c>
      <c r="H4" t="s">
        <v>14</v>
      </c>
      <c r="I4" t="s">
        <v>17</v>
      </c>
      <c r="J4">
        <v>14</v>
      </c>
      <c r="K4">
        <v>2</v>
      </c>
      <c r="L4">
        <v>397</v>
      </c>
      <c r="M4" t="s">
        <v>26</v>
      </c>
    </row>
    <row r="5" spans="2:13" x14ac:dyDescent="0.25">
      <c r="B5">
        <v>103</v>
      </c>
      <c r="C5">
        <v>7187</v>
      </c>
      <c r="D5" t="s">
        <v>11</v>
      </c>
      <c r="E5">
        <v>34</v>
      </c>
      <c r="F5" s="2">
        <v>43005</v>
      </c>
      <c r="G5" t="str">
        <f t="shared" si="0"/>
        <v>Sep</v>
      </c>
      <c r="H5" t="s">
        <v>14</v>
      </c>
      <c r="I5" t="s">
        <v>20</v>
      </c>
      <c r="J5">
        <v>25</v>
      </c>
      <c r="K5">
        <v>1</v>
      </c>
      <c r="L5">
        <v>884</v>
      </c>
      <c r="M5" t="s">
        <v>27</v>
      </c>
    </row>
    <row r="6" spans="2:13" x14ac:dyDescent="0.25">
      <c r="B6">
        <v>104</v>
      </c>
      <c r="C6">
        <v>6378</v>
      </c>
      <c r="D6" t="s">
        <v>11</v>
      </c>
      <c r="E6">
        <v>30</v>
      </c>
      <c r="F6" s="2">
        <v>41826</v>
      </c>
      <c r="G6" t="str">
        <f t="shared" si="0"/>
        <v>Jul</v>
      </c>
      <c r="H6" t="s">
        <v>15</v>
      </c>
      <c r="I6" t="s">
        <v>17</v>
      </c>
      <c r="J6">
        <v>73</v>
      </c>
      <c r="K6">
        <v>4</v>
      </c>
      <c r="L6">
        <v>630</v>
      </c>
      <c r="M6" t="s">
        <v>26</v>
      </c>
    </row>
    <row r="7" spans="2:13" x14ac:dyDescent="0.25">
      <c r="B7">
        <v>105</v>
      </c>
      <c r="C7">
        <v>7784</v>
      </c>
      <c r="D7" t="s">
        <v>10</v>
      </c>
      <c r="E7">
        <v>22</v>
      </c>
      <c r="F7" s="2">
        <v>44915</v>
      </c>
      <c r="G7" t="str">
        <f t="shared" si="0"/>
        <v>Dec</v>
      </c>
      <c r="H7" t="s">
        <v>13</v>
      </c>
      <c r="I7" t="s">
        <v>23</v>
      </c>
      <c r="J7">
        <v>62</v>
      </c>
      <c r="K7">
        <v>5</v>
      </c>
      <c r="L7">
        <v>278</v>
      </c>
      <c r="M7" t="s">
        <v>25</v>
      </c>
    </row>
    <row r="8" spans="2:13" x14ac:dyDescent="0.25">
      <c r="B8">
        <v>106</v>
      </c>
      <c r="C8">
        <v>7404</v>
      </c>
      <c r="D8" t="s">
        <v>11</v>
      </c>
      <c r="E8">
        <v>28</v>
      </c>
      <c r="F8" s="2">
        <v>42844</v>
      </c>
      <c r="G8" t="str">
        <f t="shared" si="0"/>
        <v>Apr</v>
      </c>
      <c r="H8" t="s">
        <v>14</v>
      </c>
      <c r="I8" t="s">
        <v>16</v>
      </c>
      <c r="J8">
        <v>73</v>
      </c>
      <c r="K8">
        <v>3</v>
      </c>
      <c r="L8">
        <v>644</v>
      </c>
      <c r="M8" t="s">
        <v>28</v>
      </c>
    </row>
    <row r="9" spans="2:13" x14ac:dyDescent="0.25">
      <c r="B9">
        <v>107</v>
      </c>
      <c r="C9">
        <v>8888</v>
      </c>
      <c r="D9" t="s">
        <v>10</v>
      </c>
      <c r="E9">
        <v>38</v>
      </c>
      <c r="F9" s="2">
        <v>43828</v>
      </c>
      <c r="G9" t="str">
        <f t="shared" si="0"/>
        <v>Dec</v>
      </c>
      <c r="H9" t="s">
        <v>13</v>
      </c>
      <c r="I9" t="s">
        <v>23</v>
      </c>
      <c r="J9">
        <v>137</v>
      </c>
      <c r="K9">
        <v>10</v>
      </c>
      <c r="L9">
        <v>412</v>
      </c>
      <c r="M9" t="s">
        <v>26</v>
      </c>
    </row>
    <row r="10" spans="2:13" x14ac:dyDescent="0.25">
      <c r="B10">
        <v>108</v>
      </c>
      <c r="C10">
        <v>7395</v>
      </c>
      <c r="D10" t="s">
        <v>11</v>
      </c>
      <c r="E10">
        <v>55</v>
      </c>
      <c r="F10" s="2">
        <v>41489</v>
      </c>
      <c r="G10" t="str">
        <f t="shared" si="0"/>
        <v>Aug</v>
      </c>
      <c r="H10" t="s">
        <v>14</v>
      </c>
      <c r="I10" t="s">
        <v>17</v>
      </c>
      <c r="J10">
        <v>35</v>
      </c>
      <c r="K10">
        <v>2</v>
      </c>
      <c r="L10">
        <v>582</v>
      </c>
      <c r="M10" t="s">
        <v>28</v>
      </c>
    </row>
    <row r="11" spans="2:13" x14ac:dyDescent="0.25">
      <c r="B11">
        <v>109</v>
      </c>
      <c r="C11">
        <v>5950</v>
      </c>
      <c r="D11" t="s">
        <v>10</v>
      </c>
      <c r="E11">
        <v>48</v>
      </c>
      <c r="F11" s="2">
        <v>45290</v>
      </c>
      <c r="G11" t="str">
        <f t="shared" si="0"/>
        <v>Dec</v>
      </c>
      <c r="H11" t="s">
        <v>13</v>
      </c>
      <c r="I11" t="s">
        <v>20</v>
      </c>
      <c r="J11">
        <v>34</v>
      </c>
      <c r="K11">
        <v>1</v>
      </c>
      <c r="L11">
        <v>849</v>
      </c>
      <c r="M11" t="s">
        <v>25</v>
      </c>
    </row>
    <row r="12" spans="2:13" x14ac:dyDescent="0.25">
      <c r="B12">
        <v>110</v>
      </c>
      <c r="C12">
        <v>7092</v>
      </c>
      <c r="D12" t="s">
        <v>10</v>
      </c>
      <c r="E12">
        <v>26</v>
      </c>
      <c r="F12" s="2">
        <v>41874</v>
      </c>
      <c r="G12" t="str">
        <f t="shared" si="0"/>
        <v>Aug</v>
      </c>
      <c r="H12" t="s">
        <v>12</v>
      </c>
      <c r="I12" t="s">
        <v>21</v>
      </c>
      <c r="J12">
        <v>133</v>
      </c>
      <c r="K12">
        <v>10</v>
      </c>
      <c r="L12">
        <v>864</v>
      </c>
      <c r="M12" t="s">
        <v>30</v>
      </c>
    </row>
    <row r="13" spans="2:13" x14ac:dyDescent="0.25">
      <c r="B13">
        <v>111</v>
      </c>
      <c r="C13">
        <v>2613</v>
      </c>
      <c r="D13" t="s">
        <v>11</v>
      </c>
      <c r="E13">
        <v>37</v>
      </c>
      <c r="F13" s="2">
        <v>44017</v>
      </c>
      <c r="G13" t="str">
        <f t="shared" si="0"/>
        <v>Jul</v>
      </c>
      <c r="H13" t="s">
        <v>14</v>
      </c>
      <c r="I13" t="s">
        <v>18</v>
      </c>
      <c r="J13">
        <v>44</v>
      </c>
      <c r="K13">
        <v>1</v>
      </c>
      <c r="L13">
        <v>445</v>
      </c>
      <c r="M13" t="s">
        <v>31</v>
      </c>
    </row>
    <row r="14" spans="2:13" x14ac:dyDescent="0.25">
      <c r="B14">
        <v>112</v>
      </c>
      <c r="C14">
        <v>1539</v>
      </c>
      <c r="D14" t="s">
        <v>11</v>
      </c>
      <c r="E14">
        <v>18</v>
      </c>
      <c r="F14" s="2">
        <v>42209</v>
      </c>
      <c r="G14" t="str">
        <f t="shared" si="0"/>
        <v>Jul</v>
      </c>
      <c r="H14" t="s">
        <v>12</v>
      </c>
      <c r="I14" t="s">
        <v>22</v>
      </c>
      <c r="J14">
        <v>48</v>
      </c>
      <c r="K14">
        <v>1</v>
      </c>
      <c r="L14">
        <v>719</v>
      </c>
      <c r="M14" t="s">
        <v>28</v>
      </c>
    </row>
    <row r="15" spans="2:13" x14ac:dyDescent="0.25">
      <c r="B15">
        <v>113</v>
      </c>
      <c r="C15">
        <v>2643</v>
      </c>
      <c r="D15" t="s">
        <v>11</v>
      </c>
      <c r="E15">
        <v>25</v>
      </c>
      <c r="F15" s="2">
        <v>44504</v>
      </c>
      <c r="G15" t="str">
        <f t="shared" si="0"/>
        <v>Nov</v>
      </c>
      <c r="H15" t="s">
        <v>12</v>
      </c>
      <c r="I15" t="s">
        <v>20</v>
      </c>
      <c r="J15">
        <v>148</v>
      </c>
      <c r="K15">
        <v>4</v>
      </c>
      <c r="L15">
        <v>585</v>
      </c>
      <c r="M15" t="s">
        <v>25</v>
      </c>
    </row>
    <row r="16" spans="2:13" x14ac:dyDescent="0.25">
      <c r="B16">
        <v>114</v>
      </c>
      <c r="C16">
        <v>9833</v>
      </c>
      <c r="D16" t="s">
        <v>10</v>
      </c>
      <c r="E16">
        <v>61</v>
      </c>
      <c r="F16" s="2">
        <v>43955</v>
      </c>
      <c r="G16" t="str">
        <f t="shared" si="0"/>
        <v>May</v>
      </c>
      <c r="H16" t="s">
        <v>12</v>
      </c>
      <c r="I16" t="s">
        <v>17</v>
      </c>
      <c r="J16">
        <v>57</v>
      </c>
      <c r="K16">
        <v>7</v>
      </c>
      <c r="L16">
        <v>871</v>
      </c>
      <c r="M16" t="s">
        <v>28</v>
      </c>
    </row>
    <row r="17" spans="2:13" x14ac:dyDescent="0.25">
      <c r="B17">
        <v>115</v>
      </c>
      <c r="C17">
        <v>6307</v>
      </c>
      <c r="D17" t="s">
        <v>10</v>
      </c>
      <c r="E17">
        <v>53</v>
      </c>
      <c r="F17" s="2">
        <v>43297</v>
      </c>
      <c r="G17" t="str">
        <f t="shared" si="0"/>
        <v>Jul</v>
      </c>
      <c r="H17" t="s">
        <v>14</v>
      </c>
      <c r="I17" t="s">
        <v>22</v>
      </c>
      <c r="J17">
        <v>11</v>
      </c>
      <c r="K17">
        <v>9</v>
      </c>
      <c r="L17">
        <v>892</v>
      </c>
      <c r="M17" t="s">
        <v>26</v>
      </c>
    </row>
    <row r="18" spans="2:13" x14ac:dyDescent="0.25">
      <c r="B18">
        <v>116</v>
      </c>
      <c r="C18">
        <v>5704</v>
      </c>
      <c r="D18" t="s">
        <v>11</v>
      </c>
      <c r="E18">
        <v>39</v>
      </c>
      <c r="F18" s="2">
        <v>43034</v>
      </c>
      <c r="G18" t="str">
        <f t="shared" si="0"/>
        <v>Oct</v>
      </c>
      <c r="H18" t="s">
        <v>13</v>
      </c>
      <c r="I18" t="s">
        <v>23</v>
      </c>
      <c r="J18">
        <v>55</v>
      </c>
      <c r="K18">
        <v>10</v>
      </c>
      <c r="L18">
        <v>934</v>
      </c>
      <c r="M18" t="s">
        <v>28</v>
      </c>
    </row>
    <row r="19" spans="2:13" x14ac:dyDescent="0.25">
      <c r="B19">
        <v>117</v>
      </c>
      <c r="C19">
        <v>7744</v>
      </c>
      <c r="D19" t="s">
        <v>11</v>
      </c>
      <c r="E19">
        <v>38</v>
      </c>
      <c r="F19" s="2">
        <v>43690</v>
      </c>
      <c r="G19" t="str">
        <f t="shared" si="0"/>
        <v>Aug</v>
      </c>
      <c r="H19" t="s">
        <v>14</v>
      </c>
      <c r="I19" t="s">
        <v>16</v>
      </c>
      <c r="J19">
        <v>132</v>
      </c>
      <c r="K19">
        <v>7</v>
      </c>
      <c r="L19">
        <v>496</v>
      </c>
      <c r="M19" t="s">
        <v>28</v>
      </c>
    </row>
    <row r="20" spans="2:13" x14ac:dyDescent="0.25">
      <c r="B20">
        <v>118</v>
      </c>
      <c r="C20">
        <v>2296</v>
      </c>
      <c r="D20" t="s">
        <v>10</v>
      </c>
      <c r="E20">
        <v>33</v>
      </c>
      <c r="F20" s="2">
        <v>43311</v>
      </c>
      <c r="G20" t="str">
        <f t="shared" si="0"/>
        <v>Jul</v>
      </c>
      <c r="H20" t="s">
        <v>15</v>
      </c>
      <c r="I20" t="s">
        <v>17</v>
      </c>
      <c r="J20">
        <v>126</v>
      </c>
      <c r="K20">
        <v>5</v>
      </c>
      <c r="L20">
        <v>723</v>
      </c>
      <c r="M20" t="s">
        <v>31</v>
      </c>
    </row>
    <row r="21" spans="2:13" x14ac:dyDescent="0.25">
      <c r="B21">
        <v>119</v>
      </c>
      <c r="C21">
        <v>4822</v>
      </c>
      <c r="D21" t="s">
        <v>11</v>
      </c>
      <c r="E21">
        <v>64</v>
      </c>
      <c r="F21" s="2">
        <v>42936</v>
      </c>
      <c r="G21" t="str">
        <f t="shared" si="0"/>
        <v>Jul</v>
      </c>
      <c r="H21" t="s">
        <v>13</v>
      </c>
      <c r="I21" t="s">
        <v>19</v>
      </c>
      <c r="J21">
        <v>21</v>
      </c>
      <c r="K21">
        <v>4</v>
      </c>
      <c r="L21">
        <v>800</v>
      </c>
      <c r="M21" t="s">
        <v>26</v>
      </c>
    </row>
    <row r="22" spans="2:13" x14ac:dyDescent="0.25">
      <c r="B22">
        <v>120</v>
      </c>
      <c r="C22">
        <v>6834</v>
      </c>
      <c r="D22" t="s">
        <v>10</v>
      </c>
      <c r="E22">
        <v>49</v>
      </c>
      <c r="F22" s="2">
        <v>43702</v>
      </c>
      <c r="G22" t="str">
        <f t="shared" si="0"/>
        <v>Aug</v>
      </c>
      <c r="H22" t="s">
        <v>15</v>
      </c>
      <c r="I22" t="s">
        <v>16</v>
      </c>
      <c r="J22">
        <v>24</v>
      </c>
      <c r="K22">
        <v>8</v>
      </c>
      <c r="L22">
        <v>768</v>
      </c>
      <c r="M22" t="s">
        <v>28</v>
      </c>
    </row>
    <row r="23" spans="2:13" x14ac:dyDescent="0.25">
      <c r="B23">
        <v>121</v>
      </c>
      <c r="C23">
        <v>8970</v>
      </c>
      <c r="D23" t="s">
        <v>11</v>
      </c>
      <c r="E23">
        <v>65</v>
      </c>
      <c r="F23" s="2">
        <v>45464</v>
      </c>
      <c r="G23" t="str">
        <f t="shared" si="0"/>
        <v>Jun</v>
      </c>
      <c r="H23" t="s">
        <v>13</v>
      </c>
      <c r="I23" t="s">
        <v>21</v>
      </c>
      <c r="J23">
        <v>50</v>
      </c>
      <c r="K23">
        <v>2</v>
      </c>
      <c r="L23">
        <v>144</v>
      </c>
      <c r="M23" t="s">
        <v>27</v>
      </c>
    </row>
    <row r="24" spans="2:13" x14ac:dyDescent="0.25">
      <c r="B24">
        <v>122</v>
      </c>
      <c r="C24">
        <v>2720</v>
      </c>
      <c r="D24" t="s">
        <v>10</v>
      </c>
      <c r="E24">
        <v>59</v>
      </c>
      <c r="F24" s="2">
        <v>45012</v>
      </c>
      <c r="G24" t="str">
        <f t="shared" si="0"/>
        <v>Mar</v>
      </c>
      <c r="H24" t="s">
        <v>13</v>
      </c>
      <c r="I24" t="s">
        <v>16</v>
      </c>
      <c r="J24">
        <v>82</v>
      </c>
      <c r="K24">
        <v>5</v>
      </c>
      <c r="L24">
        <v>282</v>
      </c>
      <c r="M24" t="s">
        <v>29</v>
      </c>
    </row>
    <row r="25" spans="2:13" x14ac:dyDescent="0.25">
      <c r="B25">
        <v>123</v>
      </c>
      <c r="C25">
        <v>6592</v>
      </c>
      <c r="D25" t="s">
        <v>10</v>
      </c>
      <c r="E25">
        <v>62</v>
      </c>
      <c r="F25" s="2">
        <v>41416</v>
      </c>
      <c r="G25" t="str">
        <f t="shared" si="0"/>
        <v>May</v>
      </c>
      <c r="H25" t="s">
        <v>14</v>
      </c>
      <c r="I25" t="s">
        <v>20</v>
      </c>
      <c r="J25">
        <v>36</v>
      </c>
      <c r="K25">
        <v>7</v>
      </c>
      <c r="L25">
        <v>597</v>
      </c>
      <c r="M25" t="s">
        <v>26</v>
      </c>
    </row>
    <row r="26" spans="2:13" x14ac:dyDescent="0.25">
      <c r="B26">
        <v>124</v>
      </c>
      <c r="C26">
        <v>5505</v>
      </c>
      <c r="D26" t="s">
        <v>11</v>
      </c>
      <c r="E26">
        <v>23</v>
      </c>
      <c r="F26" s="2">
        <v>42157</v>
      </c>
      <c r="G26" t="str">
        <f t="shared" si="0"/>
        <v>Jun</v>
      </c>
      <c r="H26" t="s">
        <v>14</v>
      </c>
      <c r="I26" t="s">
        <v>20</v>
      </c>
      <c r="J26">
        <v>52</v>
      </c>
      <c r="K26">
        <v>8</v>
      </c>
      <c r="L26">
        <v>937</v>
      </c>
      <c r="M26" t="s">
        <v>26</v>
      </c>
    </row>
    <row r="27" spans="2:13" x14ac:dyDescent="0.25">
      <c r="B27">
        <v>125</v>
      </c>
      <c r="C27">
        <v>9584</v>
      </c>
      <c r="D27" t="s">
        <v>10</v>
      </c>
      <c r="E27">
        <v>20</v>
      </c>
      <c r="F27" s="2">
        <v>42827</v>
      </c>
      <c r="G27" t="str">
        <f t="shared" si="0"/>
        <v>Apr</v>
      </c>
      <c r="H27" t="s">
        <v>13</v>
      </c>
      <c r="I27" t="s">
        <v>22</v>
      </c>
      <c r="J27">
        <v>120</v>
      </c>
      <c r="K27">
        <v>1</v>
      </c>
      <c r="L27">
        <v>937</v>
      </c>
      <c r="M27" t="s">
        <v>27</v>
      </c>
    </row>
    <row r="29" spans="2:13" x14ac:dyDescent="0.25">
      <c r="J29" t="s">
        <v>54</v>
      </c>
      <c r="K29" s="1">
        <f>AVERAGE(K3:K28)</f>
        <v>4.96</v>
      </c>
      <c r="L29" s="1">
        <f>AVERAGE(L3:L28)</f>
        <v>643.6</v>
      </c>
    </row>
    <row r="30" spans="2:13" x14ac:dyDescent="0.25">
      <c r="J30" t="s">
        <v>55</v>
      </c>
      <c r="K30">
        <f>MEDIAN(K3:K27)</f>
        <v>5</v>
      </c>
      <c r="L30">
        <f>MEDIAN(L3:L27)</f>
        <v>644</v>
      </c>
    </row>
    <row r="31" spans="2:13" x14ac:dyDescent="0.25">
      <c r="J31" t="s">
        <v>56</v>
      </c>
      <c r="K31">
        <f>MODE(K3:K27)</f>
        <v>1</v>
      </c>
      <c r="L31">
        <f>MODE(L3:L27)</f>
        <v>937</v>
      </c>
    </row>
    <row r="32" spans="2:13" x14ac:dyDescent="0.25">
      <c r="J32" t="s">
        <v>57</v>
      </c>
      <c r="K32">
        <f>VAR(K3:K27)</f>
        <v>9.9566666666666688</v>
      </c>
      <c r="L32">
        <f>VAR(L3:L27)</f>
        <v>54986.416666666664</v>
      </c>
    </row>
    <row r="33" spans="10:12" x14ac:dyDescent="0.25">
      <c r="J33" t="s">
        <v>58</v>
      </c>
      <c r="K33">
        <f>POWER(K32,0.5)</f>
        <v>3.1554186198770311</v>
      </c>
      <c r="L33">
        <f>POWER(L32,0.5)</f>
        <v>234.49182643893297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Sheet3</vt:lpstr>
      <vt:lpstr>Sheet4</vt:lpstr>
      <vt:lpstr>Sheet5</vt:lpstr>
      <vt:lpstr>Sheet6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Victory</dc:creator>
  <cp:lastModifiedBy>Mr. Victory</cp:lastModifiedBy>
  <dcterms:created xsi:type="dcterms:W3CDTF">2025-11-11T04:01:06Z</dcterms:created>
  <dcterms:modified xsi:type="dcterms:W3CDTF">2025-11-18T05:00:04Z</dcterms:modified>
</cp:coreProperties>
</file>