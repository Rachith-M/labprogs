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55b3615f541ea/Documents/Rachith's files/DAE/"/>
    </mc:Choice>
  </mc:AlternateContent>
  <xr:revisionPtr revIDLastSave="0" documentId="8_{D4D49FDA-A00B-4DDC-B8C0-8985B8002384}" xr6:coauthVersionLast="47" xr6:coauthVersionMax="47" xr10:uidLastSave="{00000000-0000-0000-0000-000000000000}"/>
  <bookViews>
    <workbookView xWindow="-120" yWindow="-120" windowWidth="29040" windowHeight="15720" xr2:uid="{1C268FDC-7D9D-4562-BD3D-3DC48BB21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3" i="1"/>
  <c r="J4" i="1" a="1"/>
  <c r="J4" i="1"/>
  <c r="J5" i="1" a="1"/>
  <c r="J5" i="1"/>
  <c r="J6" i="1" a="1"/>
  <c r="J6" i="1" s="1"/>
  <c r="J7" i="1" a="1"/>
  <c r="J7" i="1"/>
  <c r="J8" i="1" a="1"/>
  <c r="J8" i="1" s="1"/>
  <c r="J9" i="1" a="1"/>
  <c r="J9" i="1" s="1"/>
  <c r="J10" i="1" a="1"/>
  <c r="J10" i="1"/>
  <c r="J11" i="1" a="1"/>
  <c r="J11" i="1"/>
  <c r="J12" i="1" a="1"/>
  <c r="J12" i="1"/>
  <c r="J3" i="1" a="1"/>
  <c r="J3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H3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<sst xmlns="http://schemas.openxmlformats.org/spreadsheetml/2006/main" count="31" uniqueCount="27">
  <si>
    <t>SL NO</t>
  </si>
  <si>
    <t>Ename</t>
  </si>
  <si>
    <t>Basic pay</t>
  </si>
  <si>
    <t>Empno</t>
  </si>
  <si>
    <t>TA</t>
  </si>
  <si>
    <t>DA</t>
  </si>
  <si>
    <t>HRA</t>
  </si>
  <si>
    <t>IT</t>
  </si>
  <si>
    <t>PF</t>
  </si>
  <si>
    <t>Net Pay</t>
  </si>
  <si>
    <t>Purushotham</t>
  </si>
  <si>
    <t>Rahul</t>
  </si>
  <si>
    <t>Donald</t>
  </si>
  <si>
    <t>Tom</t>
  </si>
  <si>
    <t>Jake</t>
  </si>
  <si>
    <t>Logan</t>
  </si>
  <si>
    <t>Jimmy</t>
  </si>
  <si>
    <t>Goodson</t>
  </si>
  <si>
    <t>Anurag</t>
  </si>
  <si>
    <t>Atharva</t>
  </si>
  <si>
    <t>Package</t>
  </si>
  <si>
    <t>4.7033 CPA</t>
  </si>
  <si>
    <t>2.2656 LPA</t>
  </si>
  <si>
    <t>1.1328 LPA</t>
  </si>
  <si>
    <t>3.3595 CPA</t>
  </si>
  <si>
    <t>3.164 LPA</t>
  </si>
  <si>
    <t>4.1256 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</si>
</sst>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Sheet1!$D$3:$D$12</c:f>
              <c:strCache>
                <c:ptCount val="10"/>
                <c:pt idx="0">
                  <c:v>Purushotham</c:v>
                </c:pt>
                <c:pt idx="1">
                  <c:v>Donald</c:v>
                </c:pt>
                <c:pt idx="2">
                  <c:v>Tom</c:v>
                </c:pt>
                <c:pt idx="3">
                  <c:v>Jake</c:v>
                </c:pt>
                <c:pt idx="4">
                  <c:v>Logan</c:v>
                </c:pt>
                <c:pt idx="5">
                  <c:v>Jimmy</c:v>
                </c:pt>
                <c:pt idx="6">
                  <c:v>Goodson</c:v>
                </c:pt>
                <c:pt idx="7">
                  <c:v>Rahul</c:v>
                </c:pt>
                <c:pt idx="8">
                  <c:v>Anurag</c:v>
                </c:pt>
                <c:pt idx="9">
                  <c:v>Atharva</c:v>
                </c:pt>
              </c:strCache>
            </c:strRef>
          </c:cat>
          <c:val>
            <c:numRef>
              <c:f>Sheet1!$K$3:$K$12</c:f>
              <c:numCache>
                <c:formatCode>General</c:formatCode>
                <c:ptCount val="10"/>
                <c:pt idx="0">
                  <c:v>47033000</c:v>
                </c:pt>
                <c:pt idx="1">
                  <c:v>2265600</c:v>
                </c:pt>
                <c:pt idx="2">
                  <c:v>1132800</c:v>
                </c:pt>
                <c:pt idx="3">
                  <c:v>1416000</c:v>
                </c:pt>
                <c:pt idx="4">
                  <c:v>1038400</c:v>
                </c:pt>
                <c:pt idx="5">
                  <c:v>1604800</c:v>
                </c:pt>
                <c:pt idx="6">
                  <c:v>2531200</c:v>
                </c:pt>
                <c:pt idx="7">
                  <c:v>33595000</c:v>
                </c:pt>
                <c:pt idx="8">
                  <c:v>3164000</c:v>
                </c:pt>
                <c:pt idx="9">
                  <c:v>4125600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A-4F54-B6D3-F1B5C1B7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55664"/>
        <c:axId val="2014520672"/>
      </c:barChart>
      <c:catAx>
        <c:axId val="99955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20672"/>
        <c:crosses val="autoZero"/>
        <c:auto val="0"/>
        <c:lblAlgn val="ctr"/>
        <c:lblOffset val="100"/>
        <c:noMultiLvlLbl val="0"/>
      </c:catAx>
      <c:valAx>
        <c:axId val="20145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553358</xdr:colOff>
      <xdr:row>12</xdr:row>
      <xdr:rowOff>154214</xdr:rowOff>
    </xdr:from>
    <xdr:to>
      <xdr:col>10</xdr:col>
      <xdr:colOff>285750</xdr:colOff>
      <xdr:row>26</xdr:row>
      <xdr:rowOff>183173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7CF8C-9303-4324-91A3-7814A5125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666E-4B7D-4277-BA8A-B328EBBE2E8B}">
  <dimension ref="B2:L12"/>
  <sheetViews>
    <sheetView tabSelected="1" topLeftCell="B2" zoomScale="130" zoomScaleNormal="130" workbookViewId="0">
      <selection activeCell="O12" sqref="O12"/>
    </sheetView>
  </sheetViews>
  <sheetFormatPr defaultRowHeight="15" x14ac:dyDescent="0.25"/>
  <cols>
    <col min="2" max="12" width="12.85546875" customWidth="1"/>
  </cols>
  <sheetData>
    <row r="2" spans="2:12" ht="18.75" customHeight="1" x14ac:dyDescent="0.25">
      <c r="B2" t="s">
        <v>0</v>
      </c>
      <c r="C2" t="s">
        <v>3</v>
      </c>
      <c r="D2" t="s">
        <v>1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20</v>
      </c>
    </row>
    <row r="3" spans="2:12" ht="18.75" customHeight="1" x14ac:dyDescent="0.25">
      <c r="B3">
        <v>1</v>
      </c>
      <c r="C3">
        <v>101</v>
      </c>
      <c r="D3" t="s">
        <v>10</v>
      </c>
      <c r="E3">
        <v>70000000</v>
      </c>
      <c r="F3">
        <f>IF(E3&gt;=10000000, 0.01*E3,0.04*E3)</f>
        <v>700000</v>
      </c>
      <c r="G3">
        <f>IF(E3&gt;=10000000,0.001*E3,0.004*E3)</f>
        <v>70000</v>
      </c>
      <c r="H3">
        <f>IF(E3&gt;=10000000,0.0009*E3,0.01*E3)</f>
        <v>63000</v>
      </c>
      <c r="I3" cm="1">
        <f t="array" ref="I3">_xlfn.IFS(E3&gt;=7000000,0.3*E3,E3&gt;=4000000,0.25*E3,E3&gt;=1000000,0.1*E3)</f>
        <v>21000000</v>
      </c>
      <c r="J3" cm="1">
        <f t="array" ref="J3">_xlfn.IFS(E3&gt;=5000000,0.04*E3,E3&gt;=2500000,E3*0.05,E3&gt;=1000000,0.01*E3)</f>
        <v>2800000</v>
      </c>
      <c r="K3">
        <f>E3+F3+G3+H3-I3-J3</f>
        <v>47033000</v>
      </c>
      <c r="L3" t="s">
        <v>21</v>
      </c>
    </row>
    <row r="4" spans="2:12" ht="18.75" customHeight="1" x14ac:dyDescent="0.25">
      <c r="B4">
        <v>2</v>
      </c>
      <c r="C4">
        <v>102</v>
      </c>
      <c r="D4" t="s">
        <v>12</v>
      </c>
      <c r="E4">
        <v>2400000</v>
      </c>
      <c r="F4">
        <f t="shared" ref="F4:F12" si="0">IF(E4&gt;=10000000, 0.01*E4,0.04*E4)</f>
        <v>96000</v>
      </c>
      <c r="G4">
        <f t="shared" ref="G4:G12" si="1">IF(E4&gt;=10000000,0.001*E4,0.004*E4)</f>
        <v>9600</v>
      </c>
      <c r="H4">
        <f t="shared" ref="H4:H12" si="2">IF(E4&gt;=10000000,0.0009*E4,0.01*E4)</f>
        <v>24000</v>
      </c>
      <c r="I4" cm="1">
        <f t="array" ref="I4">_xlfn.IFS(E4&gt;=7000000,0.3*E4,E4&gt;=4000000,0.25*E4,E4&gt;=1000000,0.1*E4)</f>
        <v>240000</v>
      </c>
      <c r="J4" cm="1">
        <f t="array" ref="J4">_xlfn.IFS(E4&gt;=5000000,0.04*E4,E4&gt;=2500000,E4*0.05,E4&gt;=1000000,0.01*E4)</f>
        <v>24000</v>
      </c>
      <c r="K4">
        <f t="shared" ref="K4:K12" si="3">E4+F4+G4+H4-I4-J4</f>
        <v>2265600</v>
      </c>
      <c r="L4" t="s">
        <v>22</v>
      </c>
    </row>
    <row r="5" spans="2:12" ht="18.75" customHeight="1" x14ac:dyDescent="0.25">
      <c r="B5">
        <v>3</v>
      </c>
      <c r="C5">
        <v>103</v>
      </c>
      <c r="D5" t="s">
        <v>13</v>
      </c>
      <c r="E5">
        <v>1200000</v>
      </c>
      <c r="F5">
        <f t="shared" si="0"/>
        <v>48000</v>
      </c>
      <c r="G5">
        <f t="shared" si="1"/>
        <v>4800</v>
      </c>
      <c r="H5">
        <f t="shared" si="2"/>
        <v>12000</v>
      </c>
      <c r="I5" cm="1">
        <f t="array" ref="I5">_xlfn.IFS(E5&gt;=7000000,0.3*E5,E5&gt;=4000000,0.25*E5,E5&gt;=1000000,0.1*E5)</f>
        <v>120000</v>
      </c>
      <c r="J5" cm="1">
        <f t="array" ref="J5">_xlfn.IFS(E5&gt;=5000000,0.04*E5,E5&gt;=2500000,E5*0.05,E5&gt;=1000000,0.01*E5)</f>
        <v>12000</v>
      </c>
      <c r="K5">
        <f t="shared" si="3"/>
        <v>1132800</v>
      </c>
      <c r="L5" t="s">
        <v>23</v>
      </c>
    </row>
    <row r="6" spans="2:12" ht="18.75" customHeight="1" x14ac:dyDescent="0.25">
      <c r="B6">
        <v>4</v>
      </c>
      <c r="C6">
        <v>104</v>
      </c>
      <c r="D6" t="s">
        <v>14</v>
      </c>
      <c r="E6">
        <v>1500000</v>
      </c>
      <c r="F6">
        <f t="shared" si="0"/>
        <v>60000</v>
      </c>
      <c r="G6">
        <f t="shared" si="1"/>
        <v>6000</v>
      </c>
      <c r="H6">
        <f t="shared" si="2"/>
        <v>15000</v>
      </c>
      <c r="I6" cm="1">
        <f t="array" ref="I6">_xlfn.IFS(E6&gt;=7000000,0.3*E6,E6&gt;=4000000,0.25*E6,E6&gt;=1000000,0.1*E6)</f>
        <v>150000</v>
      </c>
      <c r="J6" cm="1">
        <f t="array" ref="J6">_xlfn.IFS(E6&gt;=5000000,0.04*E6,E6&gt;=2500000,E6*0.05,E6&gt;=1000000,0.01*E6)</f>
        <v>15000</v>
      </c>
      <c r="K6">
        <f t="shared" si="3"/>
        <v>1416000</v>
      </c>
      <c r="L6" t="s">
        <v>22</v>
      </c>
    </row>
    <row r="7" spans="2:12" ht="18.75" customHeight="1" x14ac:dyDescent="0.25">
      <c r="B7">
        <v>5</v>
      </c>
      <c r="C7">
        <v>105</v>
      </c>
      <c r="D7" t="s">
        <v>15</v>
      </c>
      <c r="E7">
        <v>1100000</v>
      </c>
      <c r="F7">
        <f t="shared" si="0"/>
        <v>44000</v>
      </c>
      <c r="G7">
        <f t="shared" si="1"/>
        <v>4400</v>
      </c>
      <c r="H7">
        <f t="shared" si="2"/>
        <v>11000</v>
      </c>
      <c r="I7" cm="1">
        <f t="array" ref="I7">_xlfn.IFS(E7&gt;=7000000,0.3*E7,E7&gt;=4000000,0.25*E7,E7&gt;=1000000,0.1*E7)</f>
        <v>110000</v>
      </c>
      <c r="J7" cm="1">
        <f t="array" ref="J7">_xlfn.IFS(E7&gt;=5000000,0.04*E7,E7&gt;=2500000,E7*0.05,E7&gt;=1000000,0.01*E7)</f>
        <v>11000</v>
      </c>
      <c r="K7">
        <f t="shared" si="3"/>
        <v>1038400</v>
      </c>
      <c r="L7" t="s">
        <v>23</v>
      </c>
    </row>
    <row r="8" spans="2:12" ht="18.75" customHeight="1" x14ac:dyDescent="0.25">
      <c r="B8">
        <v>6</v>
      </c>
      <c r="C8">
        <v>106</v>
      </c>
      <c r="D8" t="s">
        <v>16</v>
      </c>
      <c r="E8">
        <v>1700000</v>
      </c>
      <c r="F8">
        <f t="shared" si="0"/>
        <v>68000</v>
      </c>
      <c r="G8">
        <f t="shared" si="1"/>
        <v>6800</v>
      </c>
      <c r="H8">
        <f t="shared" si="2"/>
        <v>17000</v>
      </c>
      <c r="I8" cm="1">
        <f t="array" ref="I8">_xlfn.IFS(E8&gt;=7000000,0.3*E8,E8&gt;=4000000,0.25*E8,E8&gt;=1000000,0.1*E8)</f>
        <v>170000</v>
      </c>
      <c r="J8" cm="1">
        <f t="array" ref="J8">_xlfn.IFS(E8&gt;=5000000,0.04*E8,E8&gt;=2500000,E8*0.05,E8&gt;=1000000,0.01*E8)</f>
        <v>17000</v>
      </c>
      <c r="K8">
        <f t="shared" si="3"/>
        <v>1604800</v>
      </c>
      <c r="L8" t="s">
        <v>22</v>
      </c>
    </row>
    <row r="9" spans="2:12" ht="18.75" customHeight="1" x14ac:dyDescent="0.25">
      <c r="B9">
        <v>7</v>
      </c>
      <c r="C9">
        <v>107</v>
      </c>
      <c r="D9" t="s">
        <v>17</v>
      </c>
      <c r="E9">
        <v>2800000</v>
      </c>
      <c r="F9">
        <f t="shared" si="0"/>
        <v>112000</v>
      </c>
      <c r="G9">
        <f t="shared" si="1"/>
        <v>11200</v>
      </c>
      <c r="H9">
        <f t="shared" si="2"/>
        <v>28000</v>
      </c>
      <c r="I9" cm="1">
        <f t="array" ref="I9">_xlfn.IFS(E9&gt;=7000000,0.3*E9,E9&gt;=4000000,0.25*E9,E9&gt;=1000000,0.1*E9)</f>
        <v>280000</v>
      </c>
      <c r="J9" cm="1">
        <f t="array" ref="J9">_xlfn.IFS(E9&gt;=5000000,0.04*E9,E9&gt;=2500000,E9*0.05,E9&gt;=1000000,0.01*E9)</f>
        <v>140000</v>
      </c>
      <c r="K9">
        <f t="shared" si="3"/>
        <v>2531200</v>
      </c>
      <c r="L9" t="s">
        <v>23</v>
      </c>
    </row>
    <row r="10" spans="2:12" ht="18.75" customHeight="1" x14ac:dyDescent="0.25">
      <c r="B10">
        <v>8</v>
      </c>
      <c r="C10">
        <v>108</v>
      </c>
      <c r="D10" t="s">
        <v>11</v>
      </c>
      <c r="E10">
        <v>50000000</v>
      </c>
      <c r="F10">
        <f t="shared" si="0"/>
        <v>500000</v>
      </c>
      <c r="G10">
        <f t="shared" si="1"/>
        <v>50000</v>
      </c>
      <c r="H10">
        <f t="shared" si="2"/>
        <v>45000</v>
      </c>
      <c r="I10" cm="1">
        <f t="array" ref="I10">_xlfn.IFS(E10&gt;=7000000,0.3*E10,E10&gt;=4000000,0.25*E10,E10&gt;=1000000,0.1*E10)</f>
        <v>15000000</v>
      </c>
      <c r="J10" cm="1">
        <f t="array" ref="J10">_xlfn.IFS(E10&gt;=5000000,0.04*E10,E10&gt;=2500000,E10*0.05,E10&gt;=1000000,0.01*E10)</f>
        <v>2000000</v>
      </c>
      <c r="K10">
        <f t="shared" si="3"/>
        <v>33595000</v>
      </c>
      <c r="L10" t="s">
        <v>24</v>
      </c>
    </row>
    <row r="11" spans="2:12" ht="18.75" customHeight="1" x14ac:dyDescent="0.25">
      <c r="B11">
        <v>9</v>
      </c>
      <c r="C11">
        <v>109</v>
      </c>
      <c r="D11" t="s">
        <v>18</v>
      </c>
      <c r="E11">
        <v>3500000</v>
      </c>
      <c r="F11">
        <f t="shared" si="0"/>
        <v>140000</v>
      </c>
      <c r="G11">
        <f t="shared" si="1"/>
        <v>14000</v>
      </c>
      <c r="H11">
        <f t="shared" si="2"/>
        <v>35000</v>
      </c>
      <c r="I11" cm="1">
        <f t="array" ref="I11">_xlfn.IFS(E11&gt;=7000000,0.3*E11,E11&gt;=4000000,0.25*E11,E11&gt;=1000000,0.1*E11)</f>
        <v>350000</v>
      </c>
      <c r="J11" cm="1">
        <f t="array" ref="J11">_xlfn.IFS(E11&gt;=5000000,0.04*E11,E11&gt;=2500000,E11*0.05,E11&gt;=1000000,0.01*E11)</f>
        <v>175000</v>
      </c>
      <c r="K11">
        <f t="shared" si="3"/>
        <v>3164000</v>
      </c>
      <c r="L11" t="s">
        <v>25</v>
      </c>
    </row>
    <row r="12" spans="2:12" ht="18.75" customHeight="1" x14ac:dyDescent="0.25">
      <c r="B12">
        <v>10</v>
      </c>
      <c r="C12">
        <v>110</v>
      </c>
      <c r="D12" t="s">
        <v>19</v>
      </c>
      <c r="E12">
        <v>5400000</v>
      </c>
      <c r="F12">
        <f t="shared" si="0"/>
        <v>216000</v>
      </c>
      <c r="G12">
        <f t="shared" si="1"/>
        <v>21600</v>
      </c>
      <c r="H12">
        <f t="shared" si="2"/>
        <v>54000</v>
      </c>
      <c r="I12" cm="1">
        <f t="array" ref="I12">_xlfn.IFS(E12&gt;=7000000,0.3*E12,E12&gt;=4000000,0.25*E12,E12&gt;=1000000,0.1*E12)</f>
        <v>1350000</v>
      </c>
      <c r="J12" cm="1">
        <f t="array" ref="J12">_xlfn.IFS(E12&gt;=5000000,0.04*E12,E12&gt;=2500000,E12*0.05,E12&gt;=1000000,0.01*E12)</f>
        <v>216000</v>
      </c>
      <c r="K12">
        <f t="shared" si="3"/>
        <v>4125600</v>
      </c>
      <c r="L12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Victory</dc:creator>
  <cp:lastModifiedBy>Mr. Victory</cp:lastModifiedBy>
  <dcterms:created xsi:type="dcterms:W3CDTF">2025-11-04T04:01:18Z</dcterms:created>
  <dcterms:modified xsi:type="dcterms:W3CDTF">2025-11-04T05:13:05Z</dcterms:modified>
</cp:coreProperties>
</file>